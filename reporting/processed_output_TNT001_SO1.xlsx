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<sst xmlns="http://schemas.openxmlformats.org/spreadsheetml/2006/main" count="515" uniqueCount="138">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</sst>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44681.208333333336</v>
      </c>
      <c r="B2" t="n" s="84">
        <v>44576.208333333336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44681.208333333336</v>
      </c>
      <c r="B3" t="n" s="84">
        <v>44576.208333333336</v>
      </c>
      <c r="C3" t="s">
        <v>96</v>
      </c>
      <c r="D3" t="s">
        <v>134</v>
      </c>
      <c r="E3" t="n" s="85">
        <v>1.0</v>
      </c>
      <c r="F3" t="n" s="84">
        <v>44576.208333333336</v>
      </c>
      <c r="G3" t="n" s="84">
        <v>44576.208333333336</v>
      </c>
      <c r="H3" t="n" s="85">
        <v>-200.0</v>
      </c>
      <c r="I3" t="n" s="85">
        <v>1.0</v>
      </c>
    </row>
    <row r="4">
      <c r="A4" t="n" s="84">
        <v>44681.208333333336</v>
      </c>
      <c r="B4" t="n" s="84">
        <v>44576.208333333336</v>
      </c>
      <c r="C4" t="s">
        <v>96</v>
      </c>
      <c r="D4" t="s">
        <v>135</v>
      </c>
      <c r="E4" t="n" s="85">
        <v>2.0</v>
      </c>
      <c r="F4" t="n" s="84">
        <v>44576.208333333336</v>
      </c>
      <c r="G4" t="n" s="84">
        <v>44941.208333333336</v>
      </c>
      <c r="H4" t="n" s="85">
        <v>100.0</v>
      </c>
      <c r="I4" t="n" s="85">
        <v>12.0</v>
      </c>
    </row>
    <row r="5">
      <c r="A5" t="n" s="84">
        <v>44681.208333333336</v>
      </c>
      <c r="B5" t="n" s="84">
        <v>44576.208333333336</v>
      </c>
      <c r="C5" t="s">
        <v>96</v>
      </c>
      <c r="D5" t="s">
        <v>136</v>
      </c>
      <c r="E5" t="n" s="85">
        <v>3.0</v>
      </c>
      <c r="F5" t="n" s="84">
        <v>44576.208333333336</v>
      </c>
      <c r="G5" t="n" s="84">
        <v>44576.208333333336</v>
      </c>
      <c r="H5" t="n" s="85">
        <v>300.0</v>
      </c>
      <c r="I5" t="n" s="85">
        <v>1.0</v>
      </c>
    </row>
    <row r="6">
      <c r="A6" t="n" s="84">
        <v>44681.208333333336</v>
      </c>
      <c r="B6" t="n" s="84">
        <v>44576.208333333336</v>
      </c>
      <c r="C6" t="s">
        <v>96</v>
      </c>
      <c r="D6" t="s">
        <v>137</v>
      </c>
      <c r="E6" t="n" s="85">
        <v>5.0</v>
      </c>
      <c r="F6" t="n" s="84">
        <v>44576.208333333336</v>
      </c>
      <c r="G6" t="n" s="84">
        <v>44941.208333333336</v>
      </c>
      <c r="H6" t="n" s="85">
        <v>50.0</v>
      </c>
      <c r="I6" t="n" s="85">
        <v>24.0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44681.208333333336</v>
      </c>
      <c r="B2" t="n" s="84">
        <v>44681.208333333336</v>
      </c>
      <c r="C2" t="s">
        <v>96</v>
      </c>
      <c r="D2" t="s">
        <v>133</v>
      </c>
      <c r="E2" t="n" s="85">
        <v>1900.0</v>
      </c>
      <c r="F2" t="n" s="85">
        <v>0.0</v>
      </c>
      <c r="H2" t="n" s="85">
        <v>1900.0</v>
      </c>
    </row>
    <row r="3">
      <c r="A3" t="n" s="84">
        <v>44681.208333333336</v>
      </c>
      <c r="B3" t="n" s="84">
        <v>44681.208333333336</v>
      </c>
      <c r="C3" t="s">
        <v>96</v>
      </c>
      <c r="D3" t="s">
        <v>134</v>
      </c>
    </row>
    <row r="4">
      <c r="A4" t="n" s="84">
        <v>44681.208333333336</v>
      </c>
      <c r="B4" t="n" s="84">
        <v>44681.208333333336</v>
      </c>
      <c r="C4" t="s">
        <v>96</v>
      </c>
      <c r="D4" t="s">
        <v>135</v>
      </c>
      <c r="G4" t="n" s="85">
        <v>-223.092</v>
      </c>
      <c r="H4" t="n" s="85">
        <v>-223.092</v>
      </c>
    </row>
    <row r="5">
      <c r="A5" t="n" s="84">
        <v>44681.208333333336</v>
      </c>
      <c r="B5" t="n" s="84">
        <v>44681.208333333336</v>
      </c>
      <c r="C5" t="s">
        <v>96</v>
      </c>
      <c r="D5" t="s">
        <v>136</v>
      </c>
      <c r="G5" t="n" s="85">
        <v>-271.4286</v>
      </c>
      <c r="H5" t="n" s="85">
        <v>-271.4286</v>
      </c>
    </row>
    <row r="6">
      <c r="A6" t="n" s="84">
        <v>44681.208333333336</v>
      </c>
      <c r="B6" t="n" s="84">
        <v>44681.208333333336</v>
      </c>
      <c r="C6" t="s">
        <v>96</v>
      </c>
      <c r="D6" t="s">
        <v>137</v>
      </c>
      <c r="G6" t="n" s="85">
        <v>-111.546</v>
      </c>
      <c r="H6" t="n" s="85">
        <v>-111.546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0.4444444444444444</v>
      </c>
      <c r="F14" s="15" t="n">
        <f>IFERROR(E14*$C$18,"")</f>
        <v>1111.11111111111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0.1111111111111111</v>
      </c>
      <c r="F15" s="15" t="n">
        <f>IFERROR(E15*$C$18,"")</f>
        <v>277.7777777777775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1200.0</v>
      </c>
      <c r="D16" s="15" t="n">
        <f>IFERROR(IF(VLOOKUP(B16,$B$3:$C$7,2,FALSE())="USE SALES PRICE",C16,VLOOKUP(B16,$B$3:$E$7,4,FALSE())),"")</f>
        <v>1200.0</v>
      </c>
      <c r="E16" s="15" t="n">
        <f>IFERROR(D16/$D$18,"")</f>
        <v>0.4444444444444444</v>
      </c>
      <c r="F16" s="15" t="n">
        <f>IFERROR(E16*$C$18,"")</f>
        <v>1111.11111111111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2500.0</v>
      </c>
      <c r="D18" s="16" t="n">
        <f>SUM(D13:D17)</f>
        <v>2700.0</v>
      </c>
      <c r="E18" s="16" t="n">
        <f>SUM(E13:E17)</f>
        <v>1.0</v>
      </c>
      <c r="F18" s="16" t="n">
        <f>SUM(F13:F17)</f>
        <v>2499.9999999999973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44576.208333333336</v>
      </c>
      <c r="E3" s="22" t="n">
        <f>IF($A3="","",VLOOKUP(A3,REV!$E$2:$I$8,3,FALSE()))</f>
        <v>44576.208333333336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44681.208333333336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1111.11111111111</v>
      </c>
      <c r="D4" s="22" t="n">
        <f>IF($A4="","",VLOOKUP(A4,REV!$E$2:$I$8,2,FALSE()))</f>
        <v>44576.208333333336</v>
      </c>
      <c r="E4" s="22" t="n">
        <f>IF($A4="","",VLOOKUP(A4,REV!$E$2:$I$8,3,FALSE()))</f>
        <v>44941.208333333336</v>
      </c>
      <c r="F4" s="13" t="n">
        <f>IF($A4="","",IF(E4-D4=0,0,E4-D4))</f>
        <v>365.0</v>
      </c>
      <c r="G4" s="15" t="n">
        <f>IFERROR(IF($A4="","",C4/F4),C4)</f>
        <v>3.0441400304413975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277.7777777777775</v>
      </c>
      <c r="D5" s="22" t="n">
        <f>IF($A5="","",VLOOKUP(A5,REV!$E$2:$I$8,2,FALSE()))</f>
        <v>44576.208333333336</v>
      </c>
      <c r="E5" s="22" t="n">
        <f>IF($A5="","",VLOOKUP(A5,REV!$E$2:$I$8,3,FALSE()))</f>
        <v>44576.208333333336</v>
      </c>
      <c r="F5" s="13" t="n">
        <f>IF($A5="","",IF(E5-D5=0,0,E5-D5))</f>
        <v>0.0</v>
      </c>
      <c r="G5" s="15" t="n">
        <f>IFERROR(IF($A5="","",C5/F5),C5)</f>
        <v>277.7777777777775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1111.11111111111</v>
      </c>
      <c r="D6" s="22" t="n">
        <f>IF($A6="","",VLOOKUP(A6,REV!$E$2:$I$8,2,FALSE()))</f>
        <v>44576.208333333336</v>
      </c>
      <c r="E6" s="22" t="n">
        <f>IF($A6="","",VLOOKUP(A6,REV!$E$2:$I$8,3,FALSE()))</f>
        <v>44941.208333333336</v>
      </c>
      <c r="F6" s="13" t="n">
        <f>IF($A6="","",IF(E6-D6=0,0,E6-D6))</f>
        <v>365.0</v>
      </c>
      <c r="G6" s="15" t="n">
        <f>IFERROR(IF($A6="","",C6/F6),C6)</f>
        <v>3.0441400304413975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44576.208333333336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44681.208333333336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44941.208333333336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44681.208333333336</v>
      </c>
      <c r="AD12" s="22" t="n">
        <f t="shared" si="1"/>
        <v>44681.208333333336</v>
      </c>
      <c r="AE12" s="22" t="n">
        <f t="shared" si="1"/>
        <v>44681.208333333336</v>
      </c>
      <c r="AF12" s="22" t="n">
        <f t="shared" si="1"/>
        <v>44681.208333333336</v>
      </c>
      <c r="AG12" s="22" t="n">
        <f t="shared" si="1"/>
        <v>44712.0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44941.208333333336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48.7062404870624</v>
      </c>
      <c r="CF12" s="30" t="n">
        <f t="shared" si="5"/>
        <v>85.2359208523592</v>
      </c>
      <c r="CG12" s="30" t="n">
        <f t="shared" si="5"/>
        <v>94.3683409436834</v>
      </c>
      <c r="CH12" s="30" t="n">
        <f t="shared" si="5"/>
        <v>91.324200913242</v>
      </c>
      <c r="CI12" s="30" t="n">
        <f t="shared" si="5"/>
        <v>94.3683409436834</v>
      </c>
      <c r="CJ12" s="30" t="n">
        <f t="shared" si="5"/>
        <v>91.324200913242</v>
      </c>
      <c r="CK12" s="30" t="n">
        <f t="shared" si="5"/>
        <v>94.3683409436834</v>
      </c>
      <c r="CL12" s="30" t="n">
        <f t="shared" si="5"/>
        <v>94.3683409436834</v>
      </c>
      <c r="CM12" s="30" t="n">
        <f t="shared" si="5"/>
        <v>91.324200913242</v>
      </c>
      <c r="CN12" s="30" t="n">
        <f t="shared" si="5"/>
        <v>94.3683409436834</v>
      </c>
      <c r="CO12" s="30" t="n">
        <f t="shared" si="5"/>
        <v>91.324200913242</v>
      </c>
      <c r="CP12" s="30" t="n">
        <f t="shared" si="6"/>
        <v>94.3683409436834</v>
      </c>
      <c r="CQ12" s="30" t="n">
        <f t="shared" si="6"/>
        <v>45.662100456621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44576.208333333336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44681.208333333336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277.7777777777775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44941.208333333336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44681.208333333336</v>
      </c>
      <c r="AD14" s="22" t="n">
        <f t="shared" si="1"/>
        <v>44681.208333333336</v>
      </c>
      <c r="AE14" s="22" t="n">
        <f t="shared" si="1"/>
        <v>44681.208333333336</v>
      </c>
      <c r="AF14" s="22" t="n">
        <f t="shared" si="1"/>
        <v>44681.208333333336</v>
      </c>
      <c r="AG14" s="22" t="n">
        <f t="shared" si="1"/>
        <v>44712.0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44941.208333333336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48.7062404870624</v>
      </c>
      <c r="CF14" s="30" t="n">
        <f t="shared" si="5"/>
        <v>85.2359208523592</v>
      </c>
      <c r="CG14" s="30" t="n">
        <f t="shared" si="5"/>
        <v>94.3683409436834</v>
      </c>
      <c r="CH14" s="30" t="n">
        <f t="shared" si="5"/>
        <v>91.324200913242</v>
      </c>
      <c r="CI14" s="30" t="n">
        <f t="shared" si="5"/>
        <v>94.3683409436834</v>
      </c>
      <c r="CJ14" s="30" t="n">
        <f t="shared" si="5"/>
        <v>91.324200913242</v>
      </c>
      <c r="CK14" s="30" t="n">
        <f t="shared" si="5"/>
        <v>94.3683409436834</v>
      </c>
      <c r="CL14" s="30" t="n">
        <f t="shared" si="5"/>
        <v>94.3683409436834</v>
      </c>
      <c r="CM14" s="30" t="n">
        <f t="shared" si="5"/>
        <v>91.324200913242</v>
      </c>
      <c r="CN14" s="30" t="n">
        <f t="shared" si="5"/>
        <v>94.3683409436834</v>
      </c>
      <c r="CO14" s="30" t="n">
        <f t="shared" si="5"/>
        <v>91.324200913242</v>
      </c>
      <c r="CP14" s="30" t="n">
        <f t="shared" si="6"/>
        <v>94.3683409436834</v>
      </c>
      <c r="CQ14" s="30" t="n">
        <f t="shared" si="6"/>
        <v>45.662100456621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44681.208333333336</v>
      </c>
      <c r="C19" s="30" cm="1" t="n">
        <f t="array" ref="C19">VLOOKUP(A19,VALUE(EOD!$D$2:$H$6),2,FALSE)-(INV!E2+INV!F2)</f>
        <v>1900.0</v>
      </c>
      <c r="D19" s="30">
        <v>0</v>
      </c>
      <c r="E19" s="30" cm="1" t="n">
        <f t="array" ref="E19">VLOOKUP(A19,VALUE(EOD!$D$2:$H$6),3,FALSE)</f>
        <v>0.0</v>
      </c>
      <c r="F19" s="30" t="n">
        <f>IF(A19="","",SUM(EOD!H2:H7))</f>
        <v>1293.9334</v>
      </c>
    </row>
    <row r="20" spans="1:8" x14ac:dyDescent="0.25">
      <c r="A20" s="13" t="n">
        <f>IF($B3="","",$B3)</f>
        <v>1.0</v>
      </c>
      <c r="B20" s="22" t="n">
        <f t="shared" si="13"/>
        <v>44681.208333333336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44681.208333333336</v>
      </c>
      <c r="C21" s="30" t="n">
        <f>IF(A21="","",0)</f>
        <v>0.0</v>
      </c>
      <c r="D21" s="30" t="n">
        <f>IF(A21="","",EOD!G4)</f>
        <v>-223.092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44681.208333333336</v>
      </c>
      <c r="C22" s="30" t="n">
        <f>IF(A22="","",0)</f>
        <v>0.0</v>
      </c>
      <c r="D22" s="30" t="n">
        <f>IF(A22="","",EOD!G5)</f>
        <v>-271.4286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44681.208333333336</v>
      </c>
      <c r="C23" s="30" t="n">
        <f>IF(A23="","",0)</f>
        <v>0.0</v>
      </c>
      <c r="D23" s="30" t="n">
        <f>IF(A23="","",EOD!G6)</f>
        <v>-111.546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1900.0</v>
      </c>
      <c r="D25" s="30" t="n">
        <f>SUM(D19:D24)</f>
        <v>-606.0666000000001</v>
      </c>
      <c r="E25" s="30" t="n">
        <f>SUM(E19:E24)</f>
        <v>0.0</v>
      </c>
      <c r="F25" s="30" t="n">
        <f>SUM(F19:F24)</f>
        <v>1293.9334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44681.208333333336</v>
      </c>
      <c r="C29" s="30" t="n">
        <f>IF(B29="","",C25+C37)</f>
        <v>1900.0</v>
      </c>
      <c r="D29" s="30" t="n">
        <f>IF(B29="","",0)</f>
        <v>0.0</v>
      </c>
      <c r="E29" s="30" t="n">
        <f>IF(B29="","",IF(SUM(C29:D34)&gt;0,0,-SUM(C29:D34)))</f>
        <v>0.0</v>
      </c>
      <c r="F29" s="32" t="n">
        <f>IF(B29="","",SUM(C29:E34))</f>
        <v>982.9528158295287</v>
      </c>
    </row>
    <row r="30" spans="1:8" x14ac:dyDescent="0.25">
      <c r="A30" s="13" t="n">
        <f>IF($B3="","",$B3)</f>
        <v>1.0</v>
      </c>
      <c r="B30" s="22" t="n">
        <f t="shared" si="14"/>
        <v>44681.208333333336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44681.208333333336</v>
      </c>
      <c r="C31" s="30" t="n">
        <f>IF(A31="","",0)</f>
        <v>0.0</v>
      </c>
      <c r="D31" s="30" t="n">
        <f>IF(B31="","",-SUMIF($AC12:$BA12,$L$3,$CE12:$DC12))</f>
        <v>-319.634703196347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44681.208333333336</v>
      </c>
      <c r="C32" s="30" t="n">
        <f>IF(A32="","",0)</f>
        <v>0.0</v>
      </c>
      <c r="D32" s="30" t="n">
        <f>IF(B32="","",-SUMIF($AC13:$BA13,$L$3,$CE13:$DC13))</f>
        <v>-277.7777777777775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44681.208333333336</v>
      </c>
      <c r="C33" s="30" t="n">
        <f>IF(A33="","",0)</f>
        <v>0.0</v>
      </c>
      <c r="D33" s="30" t="n">
        <f>IF(B33="","",-SUMIF($AC14:$BA14,$L$3,$CE14:$DC14))</f>
        <v>-319.634703196347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44681.208333333336</v>
      </c>
      <c r="C37" s="30" t="n">
        <f>INV!E2+INV!F2</f>
        <v>0.0</v>
      </c>
      <c r="D37" s="30" t="n">
        <f>IF(B37="","",0)</f>
        <v>0.0</v>
      </c>
      <c r="E37" s="30" t="n">
        <f>IF(B37="","",IF(SUM(C37:D42)&gt;0,0,-SUM(C37:D42)))</f>
        <v>0.0</v>
      </c>
      <c r="F37" s="32" t="n">
        <f>IF(B37="","",SUM(C37:E42))</f>
        <v>1589.0194158295285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44681.208333333336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44681.208333333336</v>
      </c>
      <c r="C39" s="30" t="n">
        <f>IF(A39="","",0)</f>
        <v>0.0</v>
      </c>
      <c r="D39" s="30" t="n">
        <f>IF(B39="","",D31-D21)</f>
        <v>-96.54270319634699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44681.208333333336</v>
      </c>
      <c r="C40" s="30" t="n">
        <f>IF(A40="","",0)</f>
        <v>0.0</v>
      </c>
      <c r="D40" s="30" t="n">
        <f>IF(B40="","",D32-D22)</f>
        <v>-6.34917777777747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44681.208333333336</v>
      </c>
      <c r="C41" s="30" t="n">
        <f>IF(B41="","",C33+$C$25)</f>
        <v>1900.0</v>
      </c>
      <c r="D41" s="30" t="n">
        <f>IF(B41="","",D33-D23)</f>
        <v>-208.088703196347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44681.208333333336</v>
      </c>
      <c r="B47" s="22" t="n">
        <f t="shared" si="16"/>
        <v>44681.208333333336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-96.54270319634699</v>
      </c>
      <c r="F47" s="13" t="n">
        <f>IF(A47="","",A39)</f>
        <v>2.0</v>
      </c>
      <c r="G47" s="74"/>
    </row>
    <row r="48" spans="1:9" x14ac:dyDescent="0.25">
      <c r="A48" s="22" t="n">
        <f>IF(D40=0,"",B40)</f>
        <v>44681.208333333336</v>
      </c>
      <c r="B48" s="22" t="n">
        <f t="shared" si="16"/>
        <v>44681.208333333336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-6.34917777777747</v>
      </c>
      <c r="F48" s="13" t="n">
        <f>IF(A48="","",A40)</f>
        <v>3.0</v>
      </c>
      <c r="G48" s="74"/>
    </row>
    <row r="49" spans="1:7" x14ac:dyDescent="0.25">
      <c r="A49" s="22" t="n">
        <f>IF(D41=0,"",B41)</f>
        <v>44681.208333333336</v>
      </c>
      <c r="B49" s="22" t="n">
        <f t="shared" si="16"/>
        <v>44681.208333333336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-208.088703196347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44681.208333333336</v>
      </c>
      <c r="B3" s="40" t="n">
        <f>IF(A3="","",RevRec_Calc!B47)</f>
        <v>44681.208333333336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-96.54270319634699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44681.208333333336</v>
      </c>
      <c r="B4" s="40" t="n">
        <f>IF(A4="","",RevRec_Calc!B48)</f>
        <v>44681.208333333336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-6.34917777777747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44681.208333333336</v>
      </c>
      <c r="B5" s="40" t="n">
        <f>IF(A5="","",RevRec_Calc!B49)</f>
        <v>44681.208333333336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-208.088703196347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