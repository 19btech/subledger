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<sst xmlns="http://schemas.openxmlformats.org/spreadsheetml/2006/main" count="241" uniqueCount="86">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</sst>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 spans="1:8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0.0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n">
        <f>INT_ACC!C2</f>
        <v>0.0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str">
        <f>IF(INT_ACC!A2="","",(INT_ACC!A2))</f>
        <v/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str">
        <f>B4</f>
        <v/>
      </c>
      <c r="C8" s="30" t="n">
        <f>INT_ACC!F2</f>
        <v>0.0</v>
      </c>
      <c r="D8" s="30" t="n">
        <f>INT_ACC!G2</f>
        <v>0.0</v>
      </c>
      <c r="E8" s="30" t="str">
        <f>IF(B8="","",IF(B9="",0,(B9-B8)-1))</f>
        <v/>
      </c>
      <c r="F8" s="30" t="n">
        <f>PMT!E2</f>
        <v>0.0</v>
      </c>
      <c r="G8" s="30" t="str">
        <f>IF(B8="","",IF(F8&lt;D8,F8,D8))</f>
        <v/>
      </c>
      <c r="H8" s="31" t="str">
        <f>IF(B8="","",F8-G8)</f>
        <v/>
      </c>
      <c r="I8" s="32" t="str">
        <f>IFERROR(IF(B8="","",C8-H8),0)</f>
        <v/>
      </c>
      <c r="J8" s="33" t="str">
        <f>IFERROR(IF(B8="","",(I8*$B$2)/360),0)</f>
        <v/>
      </c>
      <c r="K8" s="31" t="str">
        <f>IFERROR(IF(B8="","",D8-G8+J8),0)</f>
        <v/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0.0</v>
      </c>
      <c r="J9" s="39" t="n">
        <f>IF(K8="",0,K8)</f>
        <v>0.0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str">
        <f>IF(INT_ACC!B2="","",INT_ACC!B2)</f>
        <v/>
      </c>
      <c r="C14" s="43" t="n">
        <f>VALUE(INT_ACC!F2)</f>
        <v>0.0</v>
      </c>
      <c r="D14" s="43" t="n">
        <f>VALUE(INT_ACC!G2)</f>
        <v>0.0</v>
      </c>
      <c r="E14" s="30" t="str">
        <f>IF(B14="","",IF(B15="",0,(B15-B14)-1))</f>
        <v/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0.0</v>
      </c>
      <c r="J14" s="45" t="n">
        <f>IF(B14="",0,(I14*$B$2)/360)</f>
        <v>0.0</v>
      </c>
      <c r="K14" s="46" t="n">
        <f>D14+J14-G14</f>
        <v>0.0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0.0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str">
        <f>IF(E2=0,B4,"")</f>
        <v/>
      </c>
      <c r="B29" s="6" t="str">
        <f>A29</f>
        <v/>
      </c>
      <c r="C29" s="4" t="str">
        <f t="shared" ref="C29:C35" si="0">IF(A29="","",$B$3)</f>
        <v/>
      </c>
      <c r="D29" s="4" t="str">
        <f>IF(A29="","","Servicing_Interest_Accrual")</f>
        <v/>
      </c>
      <c r="E29" s="55" t="str">
        <f>IF(A29="","",ROUND(B17,4))</f>
        <v/>
      </c>
      <c r="F29" s="4" t="str">
        <f>IF(A29="","",INT_ACC!$D$2)</f>
        <v/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02/01/2022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str">
        <f>CALCULATION!A29</f>
        <v/>
      </c>
      <c r="B2" s="59" t="str">
        <f>CALCULATION!B29</f>
        <v/>
      </c>
      <c r="C2" s="59" t="str">
        <f>CALCULATION!C29</f>
        <v/>
      </c>
      <c r="D2" s="59" t="str">
        <f>CALCULATION!D29</f>
        <v/>
      </c>
      <c r="E2" s="60" t="str">
        <f>CALCULATION!E29</f>
        <v/>
      </c>
      <c r="F2" s="61" t="str">
        <f>CALCULATION!F29</f>
        <v/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