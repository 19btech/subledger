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https://ssctechnologiesinc-my.sharepoint.com/personal/rafay_ahmed_sscinc_com/Documents/Desktop/Pers/Revenue/"/>
    </mc:Choice>
  </mc:AlternateContent>
  <xr:revisionPtr revIDLastSave="14" documentId="13_ncr:1_{3C893D74-AFCC-45A2-B2A3-309E485BDAFE}" xr6:coauthVersionLast="47" xr6:coauthVersionMax="47" xr10:uidLastSave="{2443E69C-AF25-443C-B60D-5A0C00B36731}"/>
  <bookViews>
    <workbookView xWindow="-120" yWindow="-120" windowWidth="29040" windowHeight="15720" tabRatio="500" activeTab="4" xr2:uid="{00000000-000D-0000-FFFF-FFFF00000000}"/>
  </bookViews>
  <sheets>
    <sheet name="REV" sheetId="1" r:id="rId1"/>
    <sheet name="INV" sheetId="2" r:id="rId2"/>
    <sheet name="EOD" sheetId="3" r:id="rId3"/>
    <sheet name="ProductCatalog_Allocation_Calc" sheetId="4" r:id="rId4"/>
    <sheet name="RevRec_Calc" sheetId="5" r:id="rId5"/>
    <sheet name="Events" sheetId="6" r:id="rId6"/>
    <sheet name="o_Transaction" sheetId="7" r:id="rId7"/>
    <sheet name="EXPECTED_INP_OUT" sheetId="8" r:id="rId8"/>
    <sheet name="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A17" i="4"/>
  <c r="A7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5" i="4" l="1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<sst xmlns="http://schemas.openxmlformats.org/spreadsheetml/2006/main" count="517" uniqueCount="138">
  <si>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</si>
  <si>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</si>
  <si>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</si>
  <si>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</si>
  <si>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</si>
  <si>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</si>
  <si>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</si>
  <si>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</si>
  <si>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</si>
  <si>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</si>
  <si>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</si>
  <si>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</si>
  <si>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</si>
  <si>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</si>
  <si>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</si>
  <si>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</si>
  <si>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</si>
  <si>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Discount</t>
  </si>
  <si>
    <t>AMOUNT</t>
  </si>
  <si>
    <t>POINT_IN_TIME</t>
  </si>
  <si>
    <t>SaaS Basic Subscription</t>
  </si>
  <si>
    <t>USE SALES PRICE</t>
  </si>
  <si>
    <t>RATABLE</t>
  </si>
  <si>
    <t>SaaS Implementation</t>
  </si>
  <si>
    <t>SaaS Training</t>
  </si>
  <si>
    <t>SaaS Premium Subscription</t>
  </si>
  <si>
    <t>Invoice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</si>
  <si>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</si>
  <si>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</si>
  <si>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</si>
  <si>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</si>
  <si>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</si>
  <si>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</si>
  <si>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</si>
  <si>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</si>
  <si>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</si>
  <si>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</si>
  <si>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</si>
  <si>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</si>
  <si>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</si>
  <si>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</si>
  <si>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</si>
  <si>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</si>
  <si>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</si>
  <si>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</si>
  <si>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</si>
  <si>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</si>
  <si>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</si>
  <si>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</si>
  <si>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</si>
  <si>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</si>
  <si>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</si>
  <si>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</si>
  <si>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</si>
  <si>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</si>
  <si>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</si>
  <si>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</si>
  <si>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</si>
  <si>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</si>
  <si>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</si>
  <si>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</si>
  <si>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</si>
  <si>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</si>
  <si>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</si>
  <si>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</si>
  <si>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</si>
  <si>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</si>
  <si>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</si>
  <si>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</si>
  <si>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</si>
  <si>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</si>
  <si>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</si>
  <si>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</si>
  <si>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</si>
  <si>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</si>
  <si>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</si>
  <si>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</si>
  <si>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</si>
  <si>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</si>
  <si>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</si>
  <si>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</si>
  <si>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</si>
  <si>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</si>
  <si>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</si>
  <si>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</si>
  <si>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</si>
  <si>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</si>
  <si>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</si>
  <si>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</si>
  <si>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</si>
  <si>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</si>
  <si>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</si>
  <si>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</si>
  <si>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</si>
  <si>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</si>
  <si>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</si>
  <si>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</si>
  <si>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</si>
  <si>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</si>
  <si>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</si>
  <si>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</si>
  <si>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</si>
  <si>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</si>
  <si>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</si>
  <si>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</si>
  <si>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</si>
  <si>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</si>
  <si>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</si>
  <si>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</si>
  <si>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</si>
  <si>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</si>
  <si>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</si>
  <si>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</si>
  <si>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</si>
  <si>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</si>
  <si>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</si>
  <si>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</si>
  <si>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</si>
  <si>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</si>
  <si>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</si>
  <si>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</si>
  <si>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</si>
  <si>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</si>
  <si>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</si>
  <si>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</si>
  <si>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</si>
  <si>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</si>
  <si>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</si>
  <si>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</si>
  <si>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</si>
  <si>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</si>
  <si>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</si>
  <si>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/>
  </si>
  <si>
    <t>0.0</t>
  </si>
  <si>
    <t>1.0</t>
  </si>
  <si>
    <t>2.0</t>
  </si>
  <si>
    <t>3.0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</si>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</sst>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_);[Red]\(0.00\)"/>
    <numFmt numFmtId="166" formatCode="0.0000_);[Red]\(0.0000\)"/>
    <numFmt numFmtId="167" formatCode="0_);[Red]\(0\)"/>
    <numFmt numFmtId="168" formatCode="MM/dd/yyyy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  <xf numFmtId="164" fontId="0" fillId="10" borderId="0" xfId="0" applyNumberFormat="1" applyFill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metadata.xml" Type="http://schemas.openxmlformats.org/officeDocument/2006/relationships/sheetMetadata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1.7109375"/>
    <col min="6" max="6" customWidth="true" width="31.42578125"/>
    <col min="7" max="7" customWidth="true" width="29.7109375"/>
    <col min="8" max="8" customWidth="true" width="30.5703125"/>
    <col min="9" max="9" customWidth="true" width="30.42578125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t="n" s="84">
        <v>44620.229166666664</v>
      </c>
      <c r="B2" t="n" s="84">
        <v>44576.229166666664</v>
      </c>
      <c r="C2" t="s">
        <v>96</v>
      </c>
      <c r="D2" t="s">
        <v>133</v>
      </c>
      <c r="E2" t="n" s="85">
        <v>0.0</v>
      </c>
      <c r="F2" t="s">
        <v>132</v>
      </c>
      <c r="G2" t="s">
        <v>132</v>
      </c>
      <c r="H2" t="s">
        <v>132</v>
      </c>
      <c r="I2" t="s">
        <v>132</v>
      </c>
    </row>
    <row r="3">
      <c r="A3" t="n" s="84">
        <v>44620.229166666664</v>
      </c>
      <c r="B3" t="n" s="84">
        <v>44576.229166666664</v>
      </c>
      <c r="C3" t="s">
        <v>96</v>
      </c>
      <c r="D3" t="s">
        <v>134</v>
      </c>
      <c r="E3" t="n" s="85">
        <v>1.0</v>
      </c>
      <c r="F3" t="n" s="84">
        <v>44576.229166666664</v>
      </c>
      <c r="G3" t="n" s="84">
        <v>44576.229166666664</v>
      </c>
      <c r="H3" t="n" s="85">
        <v>-200.0</v>
      </c>
      <c r="I3" t="n" s="85">
        <v>1.0</v>
      </c>
    </row>
    <row r="4">
      <c r="A4" t="n" s="84">
        <v>44620.229166666664</v>
      </c>
      <c r="B4" t="n" s="84">
        <v>44576.229166666664</v>
      </c>
      <c r="C4" t="s">
        <v>96</v>
      </c>
      <c r="D4" t="s">
        <v>135</v>
      </c>
      <c r="E4" t="n" s="85">
        <v>2.0</v>
      </c>
      <c r="F4" t="n" s="84">
        <v>44576.229166666664</v>
      </c>
      <c r="G4" t="n" s="84">
        <v>44941.229166666664</v>
      </c>
      <c r="H4" t="n" s="85">
        <v>100.0</v>
      </c>
      <c r="I4" t="n" s="85">
        <v>12.0</v>
      </c>
    </row>
    <row r="5">
      <c r="A5" t="n" s="84">
        <v>44620.229166666664</v>
      </c>
      <c r="B5" t="n" s="84">
        <v>44576.229166666664</v>
      </c>
      <c r="C5" t="s">
        <v>96</v>
      </c>
      <c r="D5" t="s">
        <v>136</v>
      </c>
      <c r="E5" t="n" s="85">
        <v>3.0</v>
      </c>
      <c r="F5" t="n" s="84">
        <v>44576.229166666664</v>
      </c>
      <c r="G5" t="n" s="84">
        <v>44576.229166666664</v>
      </c>
      <c r="H5" t="n" s="85">
        <v>300.0</v>
      </c>
      <c r="I5" t="n" s="85">
        <v>1.0</v>
      </c>
    </row>
    <row r="6">
      <c r="A6" t="n" s="84">
        <v>44620.229166666664</v>
      </c>
      <c r="B6" t="n" s="84">
        <v>44576.229166666664</v>
      </c>
      <c r="C6" t="s">
        <v>96</v>
      </c>
      <c r="D6" t="s">
        <v>137</v>
      </c>
      <c r="E6" t="n" s="85">
        <v>5.0</v>
      </c>
      <c r="F6" t="n" s="84">
        <v>44576.229166666664</v>
      </c>
      <c r="G6" t="n" s="84">
        <v>44941.229166666664</v>
      </c>
      <c r="H6" t="n" s="85">
        <v>50.0</v>
      </c>
      <c r="I6" t="n" s="85">
        <v>12.0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9.85546875"/>
    <col min="6" max="6" customWidth="true" width="42.0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>
      <c r="A2" t="n" s="84">
        <v>44620.229166666664</v>
      </c>
      <c r="B2" t="n" s="84">
        <v>44620.229166666664</v>
      </c>
      <c r="C2" t="s">
        <v>96</v>
      </c>
      <c r="D2" t="s">
        <v>133</v>
      </c>
      <c r="E2" t="n" s="85">
        <v>1900.0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4.0"/>
    <col min="6" max="6" customWidth="true" width="35.7109375"/>
    <col min="7" max="7" customWidth="true" width="52.0"/>
    <col min="8" max="8" customWidth="true" width="58.28515625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128</v>
      </c>
      <c r="F1" s="8" t="s">
        <v>129</v>
      </c>
      <c r="G1" s="8" t="s">
        <v>130</v>
      </c>
      <c r="H1" s="8" t="s">
        <v>131</v>
      </c>
    </row>
    <row r="2">
      <c r="A2" t="n" s="84">
        <v>44620.229166666664</v>
      </c>
      <c r="B2" t="n" s="84">
        <v>44620.229166666664</v>
      </c>
      <c r="C2" t="s">
        <v>96</v>
      </c>
      <c r="D2" t="s">
        <v>133</v>
      </c>
      <c r="E2" t="n" s="85">
        <v>1900.0</v>
      </c>
      <c r="F2" t="n" s="85">
        <v>342.818</v>
      </c>
      <c r="H2" t="n" s="85">
        <v>2242.818</v>
      </c>
    </row>
    <row r="3">
      <c r="A3" t="n" s="84">
        <v>44620.229166666664</v>
      </c>
      <c r="B3" t="n" s="84">
        <v>44620.229166666664</v>
      </c>
      <c r="C3" t="s">
        <v>96</v>
      </c>
      <c r="D3" t="s">
        <v>134</v>
      </c>
    </row>
    <row r="4">
      <c r="A4" t="n" s="84">
        <v>44620.229166666664</v>
      </c>
      <c r="B4" t="n" s="84">
        <v>44620.229166666664</v>
      </c>
      <c r="C4" t="s">
        <v>96</v>
      </c>
      <c r="D4" t="s">
        <v>135</v>
      </c>
      <c r="G4" t="n" s="85">
        <v>-47.593</v>
      </c>
      <c r="H4" t="n" s="85">
        <v>-47.593</v>
      </c>
    </row>
    <row r="5">
      <c r="A5" t="n" s="84">
        <v>44620.229166666664</v>
      </c>
      <c r="B5" t="n" s="84">
        <v>44620.229166666664</v>
      </c>
      <c r="C5" t="s">
        <v>96</v>
      </c>
      <c r="D5" t="s">
        <v>136</v>
      </c>
      <c r="G5" t="n" s="85">
        <v>-271.4286</v>
      </c>
      <c r="H5" t="n" s="85">
        <v>-271.4286</v>
      </c>
    </row>
    <row r="6">
      <c r="A6" t="n" s="84">
        <v>44620.229166666664</v>
      </c>
      <c r="B6" t="n" s="84">
        <v>44620.229166666664</v>
      </c>
      <c r="C6" t="s">
        <v>96</v>
      </c>
      <c r="D6" t="s">
        <v>137</v>
      </c>
      <c r="G6" t="n" s="85">
        <v>-23.7965</v>
      </c>
      <c r="H6" t="n" s="85">
        <v>-23.7965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zoomScaleNormal="100" workbookViewId="0">
      <selection activeCell="A23" sqref="A23"/>
    </sheetView>
  </sheetViews>
  <sheetFormatPr defaultColWidth="8.7109375" defaultRowHeight="15" customHeight="1" x14ac:dyDescent="0.25"/>
  <cols>
    <col min="1" max="1" customWidth="true" style="10" width="9.5703125"/>
    <col min="2" max="2" customWidth="true" style="10" width="25.5703125"/>
    <col min="3" max="3" customWidth="true" style="10" width="26.140625"/>
    <col min="4" max="4" customWidth="true" style="10" width="27.85546875"/>
    <col min="6" max="6" customWidth="true" style="10" width="21.7109375"/>
  </cols>
  <sheetData>
    <row r="1" spans="1:6" ht="21" x14ac:dyDescent="0.35">
      <c r="A1" s="71" t="s">
        <v>11</v>
      </c>
      <c r="B1" s="71"/>
      <c r="C1" s="71"/>
      <c r="D1" s="71"/>
      <c r="E1" s="71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13">
        <v>1</v>
      </c>
      <c r="B3" s="13" t="s">
        <v>17</v>
      </c>
      <c r="C3" s="13" t="s">
        <v>18</v>
      </c>
      <c r="D3" s="13" t="s">
        <v>19</v>
      </c>
      <c r="E3" s="13">
        <v>0</v>
      </c>
    </row>
    <row r="4" spans="1:6" x14ac:dyDescent="0.25">
      <c r="A4" s="13">
        <v>2</v>
      </c>
      <c r="B4" s="13" t="s">
        <v>20</v>
      </c>
      <c r="C4" s="13" t="s">
        <v>21</v>
      </c>
      <c r="D4" s="13" t="s">
        <v>22</v>
      </c>
      <c r="E4" s="13"/>
    </row>
    <row r="5" spans="1:6" x14ac:dyDescent="0.25">
      <c r="A5" s="13">
        <v>3</v>
      </c>
      <c r="B5" s="13" t="s">
        <v>23</v>
      </c>
      <c r="C5" s="13" t="s">
        <v>21</v>
      </c>
      <c r="D5" s="13" t="s">
        <v>19</v>
      </c>
      <c r="E5" s="13"/>
    </row>
    <row r="6" spans="1:6" x14ac:dyDescent="0.25">
      <c r="A6" s="13">
        <v>4</v>
      </c>
      <c r="B6" s="13" t="s">
        <v>24</v>
      </c>
      <c r="C6" s="13" t="s">
        <v>21</v>
      </c>
      <c r="D6" s="13" t="s">
        <v>19</v>
      </c>
      <c r="E6" s="13"/>
    </row>
    <row r="7" spans="1:6" x14ac:dyDescent="0.25">
      <c r="A7" s="13">
        <v>5</v>
      </c>
      <c r="B7" s="13" t="s">
        <v>25</v>
      </c>
      <c r="C7" s="13" t="s">
        <v>21</v>
      </c>
      <c r="D7" s="13" t="s">
        <v>22</v>
      </c>
      <c r="E7" s="13"/>
    </row>
    <row r="8" spans="1:6" x14ac:dyDescent="0.25">
      <c r="A8" s="13">
        <v>0</v>
      </c>
      <c r="B8" s="13" t="s">
        <v>26</v>
      </c>
      <c r="C8" s="13"/>
      <c r="D8" s="13"/>
      <c r="E8" s="13"/>
    </row>
    <row r="11" spans="1:6" ht="21" x14ac:dyDescent="0.35">
      <c r="A11" s="71" t="s">
        <v>27</v>
      </c>
      <c r="B11" s="71"/>
      <c r="C11" s="71"/>
      <c r="D11" s="71"/>
      <c r="E11" s="71"/>
      <c r="F11" s="71"/>
    </row>
    <row r="12" spans="1:6" x14ac:dyDescent="0.25">
      <c r="A12" s="12" t="s">
        <v>12</v>
      </c>
      <c r="B12" s="12" t="s">
        <v>13</v>
      </c>
      <c r="C12" s="14" t="s">
        <v>28</v>
      </c>
      <c r="D12" s="14" t="s">
        <v>29</v>
      </c>
      <c r="E12" s="14" t="s">
        <v>30</v>
      </c>
      <c r="F12" s="14" t="s">
        <v>31</v>
      </c>
    </row>
    <row r="13" spans="1:6" x14ac:dyDescent="0.25">
      <c r="A13" s="13" t="n">
        <f>C22</f>
        <v>1.0</v>
      </c>
      <c r="B13" s="13" t="str">
        <f>IFERROR(VLOOKUP(A13,A3:$B$7,2,FALSE()),"")</f>
        <v>Discount</v>
      </c>
      <c r="C13" s="15" t="n">
        <f>IFERROR(VLOOKUP(A13,REV!$E$2:$I$8,4,FALSE())*VLOOKUP(A13,REV!$E$2:$I$8,5,FALSE()),"")</f>
        <v>-200.0</v>
      </c>
      <c r="D13" s="15" t="n">
        <f>IFERROR(IF(VLOOKUP(B13,$B$3:$C$7,2,FALSE())="USE SALES PRICE",C13,VLOOKUP(B13,$B$3:$E$7,4,FALSE())),"")</f>
        <v>0.0</v>
      </c>
      <c r="E13" s="15" t="n">
        <f>IFERROR(D13/$D$18,"")</f>
        <v>0.0</v>
      </c>
      <c r="F13" s="15" t="n">
        <f>IFERROR(E13*$C$18,"")</f>
        <v>0.0</v>
      </c>
    </row>
    <row r="14" spans="1:6" x14ac:dyDescent="0.25">
      <c r="A14" s="13" t="n">
        <f>C23</f>
        <v>2.0</v>
      </c>
      <c r="B14" s="13" t="str">
        <f>IFERROR(VLOOKUP(A14,A4:$B$7,2,FALSE()),"")</f>
        <v>SaaS Basic Subscription</v>
      </c>
      <c r="C14" s="15" t="n">
        <f>IFERROR(VLOOKUP(A14,REV!$E$2:$I$8,4,FALSE())*VLOOKUP(A14,REV!$E$2:$I$8,5,FALSE()),"")</f>
        <v>1200.0</v>
      </c>
      <c r="D14" s="15" t="n">
        <f>IFERROR(IF(VLOOKUP(B14,$B$3:$C$7,2,FALSE())="USE SALES PRICE",C14,VLOOKUP(B14,$B$3:$E$7,4,FALSE())),"")</f>
        <v>1200.0</v>
      </c>
      <c r="E14" s="15" t="n">
        <f>IFERROR(D14/$D$18,"")</f>
        <v>0.5714285714285714</v>
      </c>
      <c r="F14" s="15" t="n">
        <f>IFERROR(E14*$C$18,"")</f>
        <v>1085.7142857142849</v>
      </c>
    </row>
    <row r="15" spans="1:6" x14ac:dyDescent="0.25">
      <c r="A15" s="13" t="n">
        <f>C24</f>
        <v>3.0</v>
      </c>
      <c r="B15" s="13" t="str">
        <f>IFERROR(VLOOKUP(A15,A5:$B$7,2,FALSE()),"")</f>
        <v>SaaS Implementation</v>
      </c>
      <c r="C15" s="15" t="n">
        <f>IFERROR(VLOOKUP(A15,REV!$E$2:$I$8,4,FALSE())*VLOOKUP(A15,REV!$E$2:$I$8,5,FALSE()),"")</f>
        <v>300.0</v>
      </c>
      <c r="D15" s="15" t="n">
        <f>IFERROR(IF(VLOOKUP(B15,$B$3:$C$7,2,FALSE())="USE SALES PRICE",C15,VLOOKUP(B15,$B$3:$E$7,4,FALSE())),"")</f>
        <v>300.0</v>
      </c>
      <c r="E15" s="15" t="n">
        <f>IFERROR(D15/$D$18,"")</f>
        <v>0.14285714285714285</v>
      </c>
      <c r="F15" s="15" t="n">
        <f>IFERROR(E15*$C$18,"")</f>
        <v>271.4285714285717</v>
      </c>
    </row>
    <row r="16" spans="1:6" x14ac:dyDescent="0.25">
      <c r="A16" s="13" t="n">
        <f>C25</f>
        <v>5.0</v>
      </c>
      <c r="B16" s="13" t="str">
        <f>IFERROR(VLOOKUP(A16,A6:$B$7,2,FALSE()),"")</f>
        <v>SaaS Premium Subscription</v>
      </c>
      <c r="C16" s="15" t="n">
        <f>IFERROR(VLOOKUP(A16,REV!$E$2:$I$8,4,FALSE())*VLOOKUP(A16,REV!$E$2:$I$8,5,FALSE()),"")</f>
        <v>600.0</v>
      </c>
      <c r="D16" s="15" t="n">
        <f>IFERROR(IF(VLOOKUP(B16,$B$3:$C$7,2,FALSE())="USE SALES PRICE",C16,VLOOKUP(B16,$B$3:$E$7,4,FALSE())),"")</f>
        <v>600.0</v>
      </c>
      <c r="E16" s="15" t="n">
        <f>IFERROR(D16/$D$18,"")</f>
        <v>0.2857142857142857</v>
      </c>
      <c r="F16" s="15" t="n">
        <f>IFERROR(E16*$C$18,"")</f>
        <v>542.8571428571433</v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2" t="s">
        <v>32</v>
      </c>
      <c r="B18" s="72"/>
      <c r="C18" s="16" t="n">
        <f>SUM(C13:C17)</f>
        <v>1900.0</v>
      </c>
      <c r="D18" s="16" t="n">
        <f>SUM(D13:D17)</f>
        <v>2100.0</v>
      </c>
      <c r="E18" s="16" t="n">
        <f>SUM(E13:E17)</f>
        <v>0.9999999999999999</v>
      </c>
      <c r="F18" s="16" t="n">
        <f>SUM(F13:F17)</f>
        <v>1899.9999999999998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3" t="s">
        <v>125</v>
      </c>
      <c r="B20" s="73"/>
      <c r="C20" s="73"/>
      <c r="D20" s="73"/>
      <c r="E20" s="71"/>
      <c r="F20" s="71"/>
    </row>
    <row r="21" spans="1:7" ht="15" customHeight="1" x14ac:dyDescent="0.25">
      <c r="A21" s="14" t="s">
        <v>51</v>
      </c>
      <c r="B21" s="14" t="s">
        <v>50</v>
      </c>
      <c r="C21" s="14" t="s">
        <v>126</v>
      </c>
      <c r="D21" s="14" t="s">
        <v>127</v>
      </c>
    </row>
    <row r="22" spans="1:7" ht="15" customHeight="1" x14ac:dyDescent="0.25">
      <c r="A22" s="21" t="n">
        <f>VALUE(REV!E2)</f>
        <v>0.0</v>
      </c>
      <c r="B22" s="13" t="n">
        <f>VALUE(REV!D2)</f>
        <v>0.0</v>
      </c>
      <c r="C22" s="70" t="n">
        <f t="shared" ref="C22:C27" si="0">IFERROR(SMALL($A$22:$A$27, ROW(A1) + COUNTIF($A$22:$A$27,0)),"")</f>
        <v>1.0</v>
      </c>
      <c r="D22" s="70" t="n">
        <f t="shared" ref="D22:D25" si="1">IFERROR(VLOOKUP(C22,$A$22:$B$27,2,FALSE),"")</f>
        <v>1.0</v>
      </c>
    </row>
    <row r="23" spans="1:7" ht="15" customHeight="1" x14ac:dyDescent="0.25">
      <c r="A23" s="21" t="n">
        <f>VALUE(REV!E3)</f>
        <v>1.0</v>
      </c>
      <c r="B23" s="13" t="n">
        <f>VALUE(REV!D3)</f>
        <v>1.0</v>
      </c>
      <c r="C23" s="70" t="n">
        <f t="shared" si="0"/>
        <v>2.0</v>
      </c>
      <c r="D23" s="70" t="n">
        <f t="shared" si="1"/>
        <v>2.0</v>
      </c>
    </row>
    <row r="24" spans="1:7" ht="15" customHeight="1" x14ac:dyDescent="0.25">
      <c r="A24" s="21" t="n">
        <f>VALUE(REV!E4)</f>
        <v>2.0</v>
      </c>
      <c r="B24" s="13" t="n">
        <f>VALUE(REV!D4)</f>
        <v>2.0</v>
      </c>
      <c r="C24" s="70" t="n">
        <f t="shared" si="0"/>
        <v>3.0</v>
      </c>
      <c r="D24" s="70" t="n">
        <f t="shared" si="1"/>
        <v>3.0</v>
      </c>
    </row>
    <row r="25" spans="1:7" ht="15" customHeight="1" x14ac:dyDescent="0.25">
      <c r="A25" s="21" t="n">
        <f>VALUE(REV!E5)</f>
        <v>3.0</v>
      </c>
      <c r="B25" s="13" t="n">
        <f>VALUE(REV!D5)</f>
        <v>3.0</v>
      </c>
      <c r="C25" s="70" t="n">
        <f t="shared" si="0"/>
        <v>5.0</v>
      </c>
      <c r="D25" s="70" t="n">
        <f t="shared" si="1"/>
        <v>4.0</v>
      </c>
    </row>
    <row r="26" spans="1:7" ht="15" customHeight="1" x14ac:dyDescent="0.25">
      <c r="A26" s="21" t="n">
        <f>VALUE(REV!E6)</f>
        <v>5.0</v>
      </c>
      <c r="B26" s="13" t="n">
        <f>VALUE(REV!D6)</f>
        <v>4.0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 t="n">
        <f>VALUE(REV!E7)</f>
        <v>0.0</v>
      </c>
      <c r="B27" s="13" t="n">
        <f>VALUE(REV!D7)</f>
        <v>0.0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tabSelected="1" zoomScale="96" zoomScaleNormal="96" workbookViewId="0">
      <selection activeCell="I21" sqref="I21"/>
    </sheetView>
  </sheetViews>
  <sheetFormatPr defaultColWidth="8.7109375" defaultRowHeight="15" customHeight="1" x14ac:dyDescent="0.25"/>
  <cols>
    <col min="1" max="1" customWidth="true" style="10" width="11.7109375"/>
    <col min="2" max="2" customWidth="true" style="10" width="15.7109375"/>
    <col min="3" max="3" customWidth="true" style="10" width="18.5703125"/>
    <col min="4" max="4" customWidth="true" style="10" width="15.5703125"/>
    <col min="5" max="5" customWidth="true" style="10" width="9.85546875"/>
    <col min="6" max="6" customWidth="true" style="10" width="17.5703125"/>
    <col min="7" max="7" customWidth="true" style="10" width="16.140625"/>
    <col min="8" max="8" customWidth="true" style="10" width="13.0"/>
    <col min="9" max="9" customWidth="true" style="10" width="28.5703125"/>
    <col min="10" max="10" customWidth="true" style="10" width="9.85546875"/>
    <col min="11" max="11" customWidth="true" style="10" width="22.5703125"/>
    <col min="12" max="12" customWidth="true" style="10" width="29.85546875"/>
    <col min="13" max="13" customWidth="true" style="10" width="10.7109375"/>
    <col min="14" max="14" customWidth="true" style="10" width="9.7109375"/>
    <col min="15" max="26" customWidth="true" style="10" width="3.0"/>
    <col min="27" max="27" customWidth="true" style="10" width="4.85546875"/>
    <col min="28" max="28" customWidth="true" style="10" width="23.140625"/>
    <col min="29" max="37" customWidth="true" style="10" width="9.7109375"/>
    <col min="38" max="40" customWidth="true" style="10" width="10.7109375"/>
    <col min="41" max="41" customWidth="true" style="10" width="9.7109375"/>
    <col min="42" max="53" customWidth="true" style="10" width="3.0"/>
    <col min="55" max="55" customWidth="true" style="10" width="23.140625"/>
    <col min="56" max="56" customWidth="true" style="10" width="16.140625"/>
    <col min="57" max="80" customWidth="true" style="10" width="3.0"/>
    <col min="82" max="82" customWidth="true" style="10" width="13.0"/>
    <col min="83" max="95" customWidth="true" style="10" width="12.0"/>
    <col min="96" max="107" customWidth="true" style="10" width="3.0"/>
  </cols>
  <sheetData>
    <row r="1" spans="1:108" ht="21" x14ac:dyDescent="0.35">
      <c r="A1" s="71" t="s">
        <v>33</v>
      </c>
      <c r="B1" s="71"/>
      <c r="C1" s="71"/>
      <c r="D1" s="71"/>
      <c r="E1" s="71"/>
      <c r="F1" s="71"/>
      <c r="G1" s="71"/>
      <c r="H1" s="71"/>
      <c r="I1" s="71"/>
      <c r="J1" s="76" t="s">
        <v>34</v>
      </c>
      <c r="K1" s="76"/>
      <c r="L1" s="11" t="s">
        <v>35</v>
      </c>
      <c r="AA1" s="75"/>
      <c r="BB1" s="75"/>
      <c r="CC1" s="75"/>
      <c r="DD1" s="75"/>
    </row>
    <row r="2" spans="1:108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9" t="s">
        <v>41</v>
      </c>
      <c r="K2" s="19" t="s">
        <v>45</v>
      </c>
      <c r="L2" s="20"/>
      <c r="AA2" s="75"/>
      <c r="BB2" s="75"/>
      <c r="CC2" s="75"/>
      <c r="DD2" s="75"/>
    </row>
    <row r="3" spans="1:108" x14ac:dyDescent="0.25">
      <c r="A3" s="13" t="n">
        <f>ProductCatalog_Allocation_Calc!A13</f>
        <v>1.0</v>
      </c>
      <c r="B3" s="13" t="n">
        <f>ProductCatalog_Allocation_Calc!D22</f>
        <v>1.0</v>
      </c>
      <c r="C3" s="21" t="n">
        <f>IF($A3="","",ProductCatalog_Allocation_Calc!F13)</f>
        <v>0.0</v>
      </c>
      <c r="D3" s="22" t="n">
        <f>IF($A3="","",VLOOKUP(A3,REV!$E$2:$I$8,2,FALSE()))</f>
        <v>44576.229166666664</v>
      </c>
      <c r="E3" s="22" t="n">
        <f>IF($A3="","",VLOOKUP(A3,REV!$E$2:$I$8,3,FALSE()))</f>
        <v>44576.229166666664</v>
      </c>
      <c r="F3" s="13" t="n">
        <f>IF($A3="","",IF(E3-D3=0,0,E3-D3))</f>
        <v>0.0</v>
      </c>
      <c r="G3" s="15" t="n">
        <f>IFERROR(IF($A3="","",C3/F3),C3)</f>
        <v>0.0</v>
      </c>
      <c r="H3" s="13" t="str">
        <f>IF($A3="","",REV!C3)</f>
        <v>SO1</v>
      </c>
      <c r="I3" s="13" t="str">
        <f>IF($A3="","",VLOOKUP(A3,ProductCatalog_Allocation_Calc!$A$3:$D$7,4,FALSE()))</f>
        <v>POINT_IN_TIME</v>
      </c>
      <c r="J3" s="23" t="str">
        <f>IF(A3="","",IF(SUM(BD11:CB11)-$F3=0,"Pass","Fail"))</f>
        <v>Pass</v>
      </c>
      <c r="K3" s="23" t="str">
        <f>IF(A3="","",IF(ROUND(SUM(CE11:DC11),4)-$C3=0,"Pass","Fail"))</f>
        <v>Pass</v>
      </c>
      <c r="L3" s="24" t="n">
        <f>EOD!A2</f>
        <v>44620.229166666664</v>
      </c>
      <c r="AA3" s="75"/>
      <c r="BB3" s="75"/>
      <c r="CC3" s="75"/>
      <c r="DD3" s="75"/>
    </row>
    <row r="4" spans="1:108" x14ac:dyDescent="0.25">
      <c r="A4" s="13" t="n">
        <f>ProductCatalog_Allocation_Calc!A14</f>
        <v>2.0</v>
      </c>
      <c r="B4" s="13" t="n">
        <f>ProductCatalog_Allocation_Calc!D23</f>
        <v>2.0</v>
      </c>
      <c r="C4" s="21" t="n">
        <f>IF($A4="","",ProductCatalog_Allocation_Calc!F14)</f>
        <v>1085.7142857142849</v>
      </c>
      <c r="D4" s="22" t="n">
        <f>IF($A4="","",VLOOKUP(A4,REV!$E$2:$I$8,2,FALSE()))</f>
        <v>44576.229166666664</v>
      </c>
      <c r="E4" s="22" t="n">
        <f>IF($A4="","",VLOOKUP(A4,REV!$E$2:$I$8,3,FALSE()))</f>
        <v>44941.229166666664</v>
      </c>
      <c r="F4" s="13" t="n">
        <f>IF($A4="","",IF(E4-D4=0,0,E4-D4))</f>
        <v>365.0</v>
      </c>
      <c r="G4" s="15" t="n">
        <f>IFERROR(IF($A4="","",C4/F4),C4)</f>
        <v>2.9745596868884383</v>
      </c>
      <c r="H4" s="13" t="str">
        <f>IF($A4="","",REV!C4)</f>
        <v>SO1</v>
      </c>
      <c r="I4" s="13" t="str">
        <f>IF($A4="","",VLOOKUP(A4,ProductCatalog_Allocation_Calc!$A$3:$D$7,4,FALSE()))</f>
        <v>RATABLE</v>
      </c>
      <c r="J4" s="23" t="str">
        <f>IF(A4="","",IF(SUM(BD12:CB12)-$F4=0,"Pass","Fail"))</f>
        <v>Pass</v>
      </c>
      <c r="K4" s="23" t="str">
        <f>IF(A4="","",IF(ROUND(SUM(CE12:DC12),4)-ROUND($C4,4)=0,"Pass","Fail"))</f>
        <v>Pass</v>
      </c>
      <c r="L4" s="13"/>
      <c r="AA4" s="75"/>
      <c r="BB4" s="75"/>
      <c r="CC4" s="75"/>
      <c r="DD4" s="75"/>
    </row>
    <row r="5" spans="1:108" x14ac:dyDescent="0.25">
      <c r="A5" s="13" t="n">
        <f>ProductCatalog_Allocation_Calc!A15</f>
        <v>3.0</v>
      </c>
      <c r="B5" s="13" t="n">
        <f>ProductCatalog_Allocation_Calc!D24</f>
        <v>3.0</v>
      </c>
      <c r="C5" s="21" t="n">
        <f>IF($A5="","",ProductCatalog_Allocation_Calc!F15)</f>
        <v>271.4285714285717</v>
      </c>
      <c r="D5" s="22" t="n">
        <f>IF($A5="","",VLOOKUP(A5,REV!$E$2:$I$8,2,FALSE()))</f>
        <v>44576.229166666664</v>
      </c>
      <c r="E5" s="22" t="n">
        <f>IF($A5="","",VLOOKUP(A5,REV!$E$2:$I$8,3,FALSE()))</f>
        <v>44576.229166666664</v>
      </c>
      <c r="F5" s="13" t="n">
        <f>IF($A5="","",IF(E5-D5=0,0,E5-D5))</f>
        <v>0.0</v>
      </c>
      <c r="G5" s="15" t="n">
        <f>IFERROR(IF($A5="","",C5/F5),C5)</f>
        <v>271.4285714285717</v>
      </c>
      <c r="H5" s="13" t="str">
        <f>IF($A5="","",REV!C5)</f>
        <v>SO1</v>
      </c>
      <c r="I5" s="13" t="str">
        <f>IF($A5="","",VLOOKUP(A5,ProductCatalog_Allocation_Calc!$A$3:$D$7,4,FALSE()))</f>
        <v>POINT_IN_TIME</v>
      </c>
      <c r="J5" s="23" t="str">
        <f>IF(A5="","",IF(SUM(BD13:CB13)-$F5=0,"Pass","Fail"))</f>
        <v>Pass</v>
      </c>
      <c r="K5" s="23" t="str">
        <f>IF(A5="","",IF(ROUND(SUM(CE13:DC13),4)-ROUND($C5,4)=0,"Pass","Fail"))</f>
        <v>Pass</v>
      </c>
      <c r="L5" s="13"/>
      <c r="AA5" s="75"/>
      <c r="BB5" s="75"/>
      <c r="CC5" s="75"/>
      <c r="DD5" s="75"/>
    </row>
    <row r="6" spans="1:108" x14ac:dyDescent="0.25">
      <c r="A6" s="13" t="n">
        <f>ProductCatalog_Allocation_Calc!A16</f>
        <v>5.0</v>
      </c>
      <c r="B6" s="13" t="n">
        <f>ProductCatalog_Allocation_Calc!D25</f>
        <v>4.0</v>
      </c>
      <c r="C6" s="21" t="n">
        <f>IF($A6="","",ProductCatalog_Allocation_Calc!F16)</f>
        <v>542.8571428571433</v>
      </c>
      <c r="D6" s="22" t="n">
        <f>IF($A6="","",VLOOKUP(A6,REV!$E$2:$I$8,2,FALSE()))</f>
        <v>44576.229166666664</v>
      </c>
      <c r="E6" s="22" t="n">
        <f>IF($A6="","",VLOOKUP(A6,REV!$E$2:$I$8,3,FALSE()))</f>
        <v>44941.229166666664</v>
      </c>
      <c r="F6" s="13" t="n">
        <f>IF($A6="","",IF(E6-D6=0,0,E6-D6))</f>
        <v>365.0</v>
      </c>
      <c r="G6" s="15" t="n">
        <f>IFERROR(IF($A6="","",C6/F6),C6)</f>
        <v>1.4872798434442274</v>
      </c>
      <c r="H6" s="13" t="str">
        <f>IF($A6="","",REV!C6)</f>
        <v>SO1</v>
      </c>
      <c r="I6" s="13" t="str">
        <f>IF($A6="","",VLOOKUP(A6,ProductCatalog_Allocation_Calc!$A$3:$D$7,4,FALSE()))</f>
        <v>RATABLE</v>
      </c>
      <c r="J6" s="23" t="str">
        <f>IF(A6="","",IF(SUM(BD14:CB14)-$F6=0,"Pass","Fail"))</f>
        <v>Pass</v>
      </c>
      <c r="K6" s="23" t="str">
        <f>IF(A6="","",IF(ROUND(SUM(CE14:DC14),4)-ROUND($C6,4)=0,"Pass","Fail"))</f>
        <v>Pass</v>
      </c>
      <c r="L6" s="13"/>
      <c r="AA6" s="75"/>
      <c r="BB6" s="75"/>
      <c r="CC6" s="75"/>
      <c r="DD6" s="75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5"/>
      <c r="BB7" s="75"/>
      <c r="CC7" s="75"/>
      <c r="DD7" s="75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5"/>
      <c r="BB8" s="75"/>
      <c r="CC8" s="75"/>
      <c r="DD8" s="75"/>
    </row>
    <row r="9" spans="1:108" ht="21" x14ac:dyDescent="0.35">
      <c r="A9" s="11" t="s">
        <v>46</v>
      </c>
      <c r="B9" s="26"/>
      <c r="AA9" s="75"/>
      <c r="AB9" s="27" t="s">
        <v>47</v>
      </c>
      <c r="BB9" s="75"/>
      <c r="BC9" s="11" t="s">
        <v>48</v>
      </c>
      <c r="CC9" s="75"/>
      <c r="CD9" s="11" t="s">
        <v>49</v>
      </c>
      <c r="DD9" s="75"/>
    </row>
    <row r="10" spans="1:108" x14ac:dyDescent="0.25">
      <c r="A10" s="28" t="s">
        <v>50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5"/>
      <c r="AB10" s="28" t="s">
        <v>51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5"/>
      <c r="BC10" s="28" t="s">
        <v>51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5"/>
      <c r="CD10" s="28" t="s">
        <v>51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5"/>
    </row>
    <row r="11" spans="1:108" x14ac:dyDescent="0.25">
      <c r="A11" s="13" t="n">
        <f>IF($B3="","",$B3)</f>
        <v>1.0</v>
      </c>
      <c r="B11" s="29" t="n">
        <f>IF(A11="","",IF(EOMONTH($D3,B$10)=EOMONTH($E3,0),$E3,IF(EOMONTH($D3,B$10)&gt;EOMONTH($E3,0),"",EOMONTH($D3,B$10))))</f>
        <v>44576.229166666664</v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5"/>
      <c r="AB11" s="13" t="n">
        <f>IF($A3="","",$A3)</f>
        <v>1.0</v>
      </c>
      <c r="AC11" s="22" t="n">
        <f t="shared" ref="AC11:AL15" si="1">IF($L$3&gt;=B11,$L$3,B11)</f>
        <v>44620.229166666664</v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5"/>
      <c r="BC11" s="13" t="n">
        <f>IF($A3="","",$A3)</f>
        <v>1.0</v>
      </c>
      <c r="BD11" s="70" t="n">
        <f t="shared" ref="BD11:CB12" si="4">IFERROR(ROUND(IF(BD$10=0,B11-$D3,IF(AC11=$E3,(B11-A11),B11-A11)),0),"")</f>
        <v>0.0</v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5"/>
      <c r="CD11" s="30" t="n">
        <f>IF($A3="","",$A3)</f>
        <v>1.0</v>
      </c>
      <c r="CE11" s="30" t="n">
        <f>IFERROR(IF(B11="","",IF(AND(CE$10=0,I3="POINT_IN_TIME"),$G3,$G3*BD11)),"")</f>
        <v>0.0</v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5"/>
    </row>
    <row r="12" spans="1:108" x14ac:dyDescent="0.25">
      <c r="A12" s="13" t="n">
        <f>IF($B4="","",$B4)</f>
        <v>2.0</v>
      </c>
      <c r="B12" s="29" t="n">
        <f>IF(A12="","",IF(EOMONTH($D4,B$10)=EOMONTH($E4,0),$E4,IF(EOMONTH($D4,B$10)&gt;EOMONTH($E4,0),"",EOMONTH($D4,B$10))))</f>
        <v>44592.0</v>
      </c>
      <c r="C12" s="29" t="n">
        <f t="shared" ref="C12:Z12" si="8">IFERROR(IF(EOMONTH($D4,C$10)=EOMONTH($E4,0),$E4,IF(EOMONTH($D4,C$10)&gt;EOMONTH($E4,0),"",EOMONTH($D4,C$10))),"")</f>
        <v>44620.0</v>
      </c>
      <c r="D12" s="29" t="n">
        <f t="shared" si="8"/>
        <v>44651.0</v>
      </c>
      <c r="E12" s="29" t="n">
        <f t="shared" si="8"/>
        <v>44681.0</v>
      </c>
      <c r="F12" s="29" t="n">
        <f t="shared" si="8"/>
        <v>44712.0</v>
      </c>
      <c r="G12" s="29" t="n">
        <f t="shared" si="8"/>
        <v>44742.0</v>
      </c>
      <c r="H12" s="29" t="n">
        <f t="shared" si="8"/>
        <v>44773.0</v>
      </c>
      <c r="I12" s="29" t="n">
        <f t="shared" si="8"/>
        <v>44804.0</v>
      </c>
      <c r="J12" s="29" t="n">
        <f t="shared" si="8"/>
        <v>44834.0</v>
      </c>
      <c r="K12" s="29" t="n">
        <f t="shared" si="8"/>
        <v>44865.0</v>
      </c>
      <c r="L12" s="29" t="n">
        <f t="shared" si="8"/>
        <v>44895.0</v>
      </c>
      <c r="M12" s="29" t="n">
        <f t="shared" si="8"/>
        <v>44926.0</v>
      </c>
      <c r="N12" s="29" t="n">
        <f t="shared" si="8"/>
        <v>44941.229166666664</v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5"/>
      <c r="AB12" s="13" t="n">
        <f>IF($A4="","",$A4)</f>
        <v>2.0</v>
      </c>
      <c r="AC12" s="22" t="n">
        <f t="shared" si="1"/>
        <v>44620.229166666664</v>
      </c>
      <c r="AD12" s="22" t="n">
        <f t="shared" si="1"/>
        <v>44620.229166666664</v>
      </c>
      <c r="AE12" s="22" t="n">
        <f t="shared" si="1"/>
        <v>44651.0</v>
      </c>
      <c r="AF12" s="22" t="n">
        <f t="shared" si="1"/>
        <v>44681.0</v>
      </c>
      <c r="AG12" s="22" t="n">
        <f t="shared" si="1"/>
        <v>44712.0</v>
      </c>
      <c r="AH12" s="22" t="n">
        <f t="shared" si="1"/>
        <v>44742.0</v>
      </c>
      <c r="AI12" s="22" t="n">
        <f t="shared" si="1"/>
        <v>44773.0</v>
      </c>
      <c r="AJ12" s="22" t="n">
        <f t="shared" si="1"/>
        <v>44804.0</v>
      </c>
      <c r="AK12" s="22" t="n">
        <f t="shared" si="1"/>
        <v>44834.0</v>
      </c>
      <c r="AL12" s="22" t="n">
        <f t="shared" si="1"/>
        <v>44865.0</v>
      </c>
      <c r="AM12" s="22" t="n">
        <f t="shared" si="2"/>
        <v>44895.0</v>
      </c>
      <c r="AN12" s="22" t="n">
        <f t="shared" si="2"/>
        <v>44926.0</v>
      </c>
      <c r="AO12" s="22" t="n">
        <f t="shared" si="2"/>
        <v>44941.229166666664</v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5"/>
      <c r="BC12" s="13" t="n">
        <f>IF($A4="","",$A4)</f>
        <v>2.0</v>
      </c>
      <c r="BD12" s="70" t="n">
        <f>IFERROR(ROUND(IF(BD$10=0,B12-$D4,IF(AC12=$E4,(B12-A12),B12-A12)),0),"")</f>
        <v>16.0</v>
      </c>
      <c r="BE12" s="70" t="n">
        <f t="shared" si="4"/>
        <v>28.0</v>
      </c>
      <c r="BF12" s="70" t="n">
        <f t="shared" si="4"/>
        <v>31.0</v>
      </c>
      <c r="BG12" s="70" t="n">
        <f t="shared" si="4"/>
        <v>30.0</v>
      </c>
      <c r="BH12" s="70" t="n">
        <f t="shared" si="4"/>
        <v>31.0</v>
      </c>
      <c r="BI12" s="70" t="n">
        <f t="shared" si="4"/>
        <v>30.0</v>
      </c>
      <c r="BJ12" s="70" t="n">
        <f t="shared" si="4"/>
        <v>31.0</v>
      </c>
      <c r="BK12" s="70" t="n">
        <f t="shared" si="4"/>
        <v>31.0</v>
      </c>
      <c r="BL12" s="70" t="n">
        <f t="shared" si="4"/>
        <v>30.0</v>
      </c>
      <c r="BM12" s="70" t="n">
        <f t="shared" si="4"/>
        <v>31.0</v>
      </c>
      <c r="BN12" s="70" t="n">
        <f t="shared" si="4"/>
        <v>30.0</v>
      </c>
      <c r="BO12" s="70" t="n">
        <f t="shared" si="4"/>
        <v>31.0</v>
      </c>
      <c r="BP12" s="70" t="n">
        <f t="shared" si="4"/>
        <v>15.0</v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5"/>
      <c r="CD12" s="30" t="n">
        <f>IF($A4="","",$A4)</f>
        <v>2.0</v>
      </c>
      <c r="CE12" s="30" t="n">
        <f>IFERROR(IF(B12="","",IF(AND(CE$10=0,I4="POINT_IN_TIME"),$G4,$G4*BD12)),"")</f>
        <v>47.59295499021504</v>
      </c>
      <c r="CF12" s="30" t="n">
        <f t="shared" si="5"/>
        <v>83.28767123287632</v>
      </c>
      <c r="CG12" s="30" t="n">
        <f t="shared" si="5"/>
        <v>92.21135029354164</v>
      </c>
      <c r="CH12" s="30" t="n">
        <f t="shared" si="5"/>
        <v>89.2367906066532</v>
      </c>
      <c r="CI12" s="30" t="n">
        <f t="shared" si="5"/>
        <v>92.21135029354164</v>
      </c>
      <c r="CJ12" s="30" t="n">
        <f t="shared" si="5"/>
        <v>89.2367906066532</v>
      </c>
      <c r="CK12" s="30" t="n">
        <f t="shared" si="5"/>
        <v>92.21135029354164</v>
      </c>
      <c r="CL12" s="30" t="n">
        <f t="shared" si="5"/>
        <v>92.21135029354164</v>
      </c>
      <c r="CM12" s="30" t="n">
        <f t="shared" si="5"/>
        <v>89.2367906066532</v>
      </c>
      <c r="CN12" s="30" t="n">
        <f t="shared" si="5"/>
        <v>92.21135029354164</v>
      </c>
      <c r="CO12" s="30" t="n">
        <f t="shared" si="5"/>
        <v>89.2367906066532</v>
      </c>
      <c r="CP12" s="30" t="n">
        <f t="shared" si="6"/>
        <v>92.21135029354164</v>
      </c>
      <c r="CQ12" s="30" t="n">
        <f t="shared" si="6"/>
        <v>44.6183953033266</v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5"/>
    </row>
    <row r="13" spans="1:108" x14ac:dyDescent="0.25">
      <c r="A13" s="13" t="n">
        <f>IF($A5="","",$A5)</f>
        <v>3.0</v>
      </c>
      <c r="B13" s="29" t="n">
        <f>IF(A13="","",IF(EOMONTH($D5,B$10)=EOMONTH($E5,0),$E5,IF(EOMONTH($D5,B$10)&gt;EOMONTH($E5,0),"",EOMONTH($D5,B$10))))</f>
        <v>44576.229166666664</v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5"/>
      <c r="AB13" s="13" t="n">
        <f>IF($A5="","",$A5)</f>
        <v>3.0</v>
      </c>
      <c r="AC13" s="22" t="n">
        <f t="shared" si="1"/>
        <v>44620.229166666664</v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5"/>
      <c r="BC13" s="13" t="n">
        <f>IF($A5="","",$A5)</f>
        <v>3.0</v>
      </c>
      <c r="BD13" s="70" t="n">
        <f t="shared" ref="BD13:CB15" si="10">IFERROR(ROUND(IF(BD$10=0,B13-$D5,IF(AC13=$E5,(B13-A13),B13-A13)),0),"")</f>
        <v>0.0</v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5"/>
      <c r="CD13" s="30" t="n">
        <f>IF($A5="","",$A5)</f>
        <v>3.0</v>
      </c>
      <c r="CE13" s="30" t="n">
        <f>IFERROR(IF(B13="","",IF(AND(CE$10=0,I5="POINT_IN_TIME"),$G5,$G5*BD13)),"")</f>
        <v>271.4285714285717</v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5"/>
    </row>
    <row r="14" spans="1:108" x14ac:dyDescent="0.25">
      <c r="A14" s="13" t="n">
        <f>IF($A6="","",$A6)</f>
        <v>5.0</v>
      </c>
      <c r="B14" s="29" t="n">
        <f>IF(A14="","",IF(EOMONTH($D6,B$10)=EOMONTH($E6,0),$E6,IF(EOMONTH($D6,B$10)&gt;EOMONTH($E6,0),"",EOMONTH($D6,B$10))))</f>
        <v>44592.0</v>
      </c>
      <c r="C14" s="29" t="n">
        <f t="shared" ref="C14:Z14" si="11">IFERROR(IF(EOMONTH($D6,C$10)=EOMONTH($E6,0),$E6,IF(EOMONTH($D6,C$10)&gt;EOMONTH($E6,0),"",EOMONTH($D6,C$10))),"")</f>
        <v>44620.0</v>
      </c>
      <c r="D14" s="29" t="n">
        <f t="shared" si="11"/>
        <v>44651.0</v>
      </c>
      <c r="E14" s="29" t="n">
        <f t="shared" si="11"/>
        <v>44681.0</v>
      </c>
      <c r="F14" s="29" t="n">
        <f t="shared" si="11"/>
        <v>44712.0</v>
      </c>
      <c r="G14" s="29" t="n">
        <f t="shared" si="11"/>
        <v>44742.0</v>
      </c>
      <c r="H14" s="29" t="n">
        <f t="shared" si="11"/>
        <v>44773.0</v>
      </c>
      <c r="I14" s="29" t="n">
        <f t="shared" si="11"/>
        <v>44804.0</v>
      </c>
      <c r="J14" s="29" t="n">
        <f t="shared" si="11"/>
        <v>44834.0</v>
      </c>
      <c r="K14" s="29" t="n">
        <f t="shared" si="11"/>
        <v>44865.0</v>
      </c>
      <c r="L14" s="29" t="n">
        <f t="shared" si="11"/>
        <v>44895.0</v>
      </c>
      <c r="M14" s="29" t="n">
        <f t="shared" si="11"/>
        <v>44926.0</v>
      </c>
      <c r="N14" s="29" t="n">
        <f t="shared" si="11"/>
        <v>44941.229166666664</v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5"/>
      <c r="AB14" s="13" t="n">
        <f>IF($A6="","",$A6)</f>
        <v>5.0</v>
      </c>
      <c r="AC14" s="22" t="n">
        <f t="shared" si="1"/>
        <v>44620.229166666664</v>
      </c>
      <c r="AD14" s="22" t="n">
        <f t="shared" si="1"/>
        <v>44620.229166666664</v>
      </c>
      <c r="AE14" s="22" t="n">
        <f t="shared" si="1"/>
        <v>44651.0</v>
      </c>
      <c r="AF14" s="22" t="n">
        <f t="shared" si="1"/>
        <v>44681.0</v>
      </c>
      <c r="AG14" s="22" t="n">
        <f t="shared" si="1"/>
        <v>44712.0</v>
      </c>
      <c r="AH14" s="22" t="n">
        <f t="shared" si="1"/>
        <v>44742.0</v>
      </c>
      <c r="AI14" s="22" t="n">
        <f t="shared" si="1"/>
        <v>44773.0</v>
      </c>
      <c r="AJ14" s="22" t="n">
        <f t="shared" si="1"/>
        <v>44804.0</v>
      </c>
      <c r="AK14" s="22" t="n">
        <f t="shared" si="1"/>
        <v>44834.0</v>
      </c>
      <c r="AL14" s="22" t="n">
        <f t="shared" si="1"/>
        <v>44865.0</v>
      </c>
      <c r="AM14" s="22" t="n">
        <f t="shared" si="2"/>
        <v>44895.0</v>
      </c>
      <c r="AN14" s="22" t="n">
        <f t="shared" si="2"/>
        <v>44926.0</v>
      </c>
      <c r="AO14" s="22" t="n">
        <f t="shared" si="2"/>
        <v>44941.229166666664</v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5"/>
      <c r="BC14" s="13" t="n">
        <f>IF($A6="","",$A6)</f>
        <v>5.0</v>
      </c>
      <c r="BD14" s="70" t="n">
        <f t="shared" si="10"/>
        <v>16.0</v>
      </c>
      <c r="BE14" s="70" t="n">
        <f t="shared" si="10"/>
        <v>28.0</v>
      </c>
      <c r="BF14" s="70" t="n">
        <f t="shared" si="10"/>
        <v>31.0</v>
      </c>
      <c r="BG14" s="70" t="n">
        <f t="shared" si="10"/>
        <v>30.0</v>
      </c>
      <c r="BH14" s="70" t="n">
        <f t="shared" si="10"/>
        <v>31.0</v>
      </c>
      <c r="BI14" s="70" t="n">
        <f t="shared" si="10"/>
        <v>30.0</v>
      </c>
      <c r="BJ14" s="70" t="n">
        <f t="shared" si="10"/>
        <v>31.0</v>
      </c>
      <c r="BK14" s="70" t="n">
        <f t="shared" si="10"/>
        <v>31.0</v>
      </c>
      <c r="BL14" s="70" t="n">
        <f t="shared" si="10"/>
        <v>30.0</v>
      </c>
      <c r="BM14" s="70" t="n">
        <f t="shared" si="10"/>
        <v>31.0</v>
      </c>
      <c r="BN14" s="70" t="n">
        <f t="shared" si="10"/>
        <v>30.0</v>
      </c>
      <c r="BO14" s="70" t="n">
        <f t="shared" si="10"/>
        <v>31.0</v>
      </c>
      <c r="BP14" s="70" t="n">
        <f t="shared" si="10"/>
        <v>15.0</v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5"/>
      <c r="CD14" s="30" t="n">
        <f>IF($A6="","",$A6)</f>
        <v>5.0</v>
      </c>
      <c r="CE14" s="30" t="n">
        <f>IFERROR(IF(B14="","",$G6*BD14),"")</f>
        <v>23.79647749510768</v>
      </c>
      <c r="CF14" s="30" t="n">
        <f t="shared" si="5"/>
        <v>41.64383561643844</v>
      </c>
      <c r="CG14" s="30" t="n">
        <f t="shared" si="5"/>
        <v>46.10567514677113</v>
      </c>
      <c r="CH14" s="30" t="n">
        <f t="shared" si="5"/>
        <v>44.6183953033269</v>
      </c>
      <c r="CI14" s="30" t="n">
        <f t="shared" si="5"/>
        <v>46.10567514677113</v>
      </c>
      <c r="CJ14" s="30" t="n">
        <f t="shared" si="5"/>
        <v>44.6183953033269</v>
      </c>
      <c r="CK14" s="30" t="n">
        <f t="shared" si="5"/>
        <v>46.10567514677113</v>
      </c>
      <c r="CL14" s="30" t="n">
        <f t="shared" si="5"/>
        <v>46.10567514677113</v>
      </c>
      <c r="CM14" s="30" t="n">
        <f t="shared" si="5"/>
        <v>44.6183953033269</v>
      </c>
      <c r="CN14" s="30" t="n">
        <f t="shared" si="5"/>
        <v>46.10567514677113</v>
      </c>
      <c r="CO14" s="30" t="n">
        <f t="shared" si="5"/>
        <v>44.6183953033269</v>
      </c>
      <c r="CP14" s="30" t="n">
        <f t="shared" si="6"/>
        <v>46.10567514677113</v>
      </c>
      <c r="CQ14" s="30" t="n">
        <f t="shared" si="6"/>
        <v>22.30919765166345</v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5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5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5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5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5"/>
    </row>
    <row r="17" spans="1:8" ht="21" x14ac:dyDescent="0.35">
      <c r="A17" s="71" t="s">
        <v>52</v>
      </c>
      <c r="B17" s="71"/>
      <c r="C17" s="71"/>
      <c r="D17" s="71"/>
      <c r="E17" s="71"/>
      <c r="F17" s="71"/>
      <c r="G17" s="71"/>
      <c r="H17" s="71"/>
    </row>
    <row r="18" spans="1:8" x14ac:dyDescent="0.25">
      <c r="A18" s="28" t="s">
        <v>50</v>
      </c>
      <c r="B18" s="18" t="s">
        <v>53</v>
      </c>
      <c r="C18" s="18" t="s">
        <v>54</v>
      </c>
      <c r="D18" s="18" t="s">
        <v>45</v>
      </c>
      <c r="E18" s="18" t="s">
        <v>55</v>
      </c>
      <c r="F18" s="18" t="s">
        <v>56</v>
      </c>
    </row>
    <row r="19" spans="1:8" x14ac:dyDescent="0.25">
      <c r="A19" s="23">
        <v>0</v>
      </c>
      <c r="B19" s="22" t="n">
        <f t="shared" ref="B19:B24" si="13">IF(A19="","",$L$3)</f>
        <v>44620.229166666664</v>
      </c>
      <c r="C19" s="30" cm="1" t="n">
        <f t="array" ref="C19">VLOOKUP(A19,VALUE(EOD!$D$2:$H$6),2,FALSE)-(INV!E2+INV!F2)</f>
        <v>0.0</v>
      </c>
      <c r="D19" s="30">
        <v>0</v>
      </c>
      <c r="E19" s="30" cm="1" t="n">
        <f t="array" ref="E19">VLOOKUP(A19,VALUE(EOD!$D$2:$H$6),3,FALSE)</f>
        <v>342.818</v>
      </c>
      <c r="F19" s="30" t="n">
        <f>IF(A19="","",SUM(EOD!H2:H7))</f>
        <v>1899.9999000000005</v>
      </c>
    </row>
    <row r="20" spans="1:8" x14ac:dyDescent="0.25">
      <c r="A20" s="13" t="n">
        <f>IF($B3="","",$B3)</f>
        <v>1.0</v>
      </c>
      <c r="B20" s="22" t="n">
        <f t="shared" si="13"/>
        <v>44620.229166666664</v>
      </c>
      <c r="C20" s="30" t="n">
        <f>IF(A20="","",0)</f>
        <v>0.0</v>
      </c>
      <c r="D20" s="30" t="n">
        <f>IF(A20="","",EOD!G3)</f>
        <v>0.0</v>
      </c>
      <c r="E20" s="30" t="n">
        <f>IF(A20="","",0)</f>
        <v>0.0</v>
      </c>
      <c r="F20" s="30" t="n">
        <f>IF(A20="","",0)</f>
        <v>0.0</v>
      </c>
    </row>
    <row r="21" spans="1:8" x14ac:dyDescent="0.25">
      <c r="A21" s="13" t="n">
        <f>IF($B4="","",$B4)</f>
        <v>2.0</v>
      </c>
      <c r="B21" s="22" t="n">
        <f t="shared" si="13"/>
        <v>44620.229166666664</v>
      </c>
      <c r="C21" s="30" t="n">
        <f>IF(A21="","",0)</f>
        <v>0.0</v>
      </c>
      <c r="D21" s="30" t="n">
        <f>IF(A21="","",EOD!G4)</f>
        <v>-47.593</v>
      </c>
      <c r="E21" s="30" t="n">
        <f>IF(A21="","",0)</f>
        <v>0.0</v>
      </c>
      <c r="F21" s="30" t="n">
        <f>IF(A21="","",0)</f>
        <v>0.0</v>
      </c>
    </row>
    <row r="22" spans="1:8" x14ac:dyDescent="0.25">
      <c r="A22" s="13" t="n">
        <f>IF($B5="","",$B5)</f>
        <v>3.0</v>
      </c>
      <c r="B22" s="22" t="n">
        <f t="shared" si="13"/>
        <v>44620.229166666664</v>
      </c>
      <c r="C22" s="30" t="n">
        <f>IF(A22="","",0)</f>
        <v>0.0</v>
      </c>
      <c r="D22" s="30" t="n">
        <f>IF(A22="","",EOD!G5)</f>
        <v>-271.4286</v>
      </c>
      <c r="E22" s="30" t="n">
        <f>IF(A22="","",0)</f>
        <v>0.0</v>
      </c>
      <c r="F22" s="30" t="n">
        <f>IF(A22="","",0)</f>
        <v>0.0</v>
      </c>
    </row>
    <row r="23" spans="1:8" x14ac:dyDescent="0.25">
      <c r="A23" s="13" t="n">
        <f>IF($B6="","",$B6)</f>
        <v>4.0</v>
      </c>
      <c r="B23" s="22" t="n">
        <f t="shared" si="13"/>
        <v>44620.229166666664</v>
      </c>
      <c r="C23" s="30" t="n">
        <f>IF(A23="","",0)</f>
        <v>0.0</v>
      </c>
      <c r="D23" s="30" t="n">
        <f>IF(A23="","",EOD!G6)</f>
        <v>-23.7965</v>
      </c>
      <c r="E23" s="30" t="n">
        <f>IF(A23="","",0)</f>
        <v>0.0</v>
      </c>
      <c r="F23" s="30" t="n">
        <f>IF(A23="","",0)</f>
        <v>0.0</v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32</v>
      </c>
      <c r="B25" s="22"/>
      <c r="C25" s="30" t="n">
        <f>SUM(C19:C24)</f>
        <v>0.0</v>
      </c>
      <c r="D25" s="30" t="n">
        <f>SUM(D19:D24)</f>
        <v>-342.8181</v>
      </c>
      <c r="E25" s="30" t="n">
        <f>SUM(E19:E24)</f>
        <v>342.818</v>
      </c>
      <c r="F25" s="30" t="n">
        <f>SUM(F19:F24)</f>
        <v>1899.9999000000005</v>
      </c>
    </row>
    <row r="27" spans="1:8" ht="21" x14ac:dyDescent="0.35">
      <c r="A27" s="71" t="s">
        <v>57</v>
      </c>
      <c r="B27" s="71"/>
      <c r="C27" s="71"/>
      <c r="D27" s="71"/>
      <c r="E27" s="71"/>
      <c r="F27" s="71"/>
      <c r="G27" s="71"/>
      <c r="H27" s="71"/>
    </row>
    <row r="28" spans="1:8" x14ac:dyDescent="0.25">
      <c r="A28" s="28" t="s">
        <v>50</v>
      </c>
      <c r="B28" s="18" t="s">
        <v>53</v>
      </c>
      <c r="C28" s="18" t="s">
        <v>54</v>
      </c>
      <c r="D28" s="18" t="s">
        <v>45</v>
      </c>
      <c r="E28" s="18" t="s">
        <v>55</v>
      </c>
      <c r="F28" s="18" t="s">
        <v>56</v>
      </c>
    </row>
    <row r="29" spans="1:8" x14ac:dyDescent="0.25">
      <c r="A29" s="23">
        <v>0</v>
      </c>
      <c r="B29" s="22" t="n">
        <f t="shared" ref="B29:B34" si="14">IF(A29="","",$L$3)</f>
        <v>44620.229166666664</v>
      </c>
      <c r="C29" s="30" t="n">
        <f>IF(B29="","",C25+C37)</f>
        <v>1900.0</v>
      </c>
      <c r="D29" s="30" t="n">
        <f>IF(B29="","",0)</f>
        <v>0.0</v>
      </c>
      <c r="E29" s="30" t="n">
        <f>IF(B29="","",IF(SUM(C29:D34)&gt;0,0,-SUM(C29:D34)))</f>
        <v>0.0</v>
      </c>
      <c r="F29" s="32" t="n">
        <f>IF(B29="","",SUM(C29:E34))</f>
        <v>1432.2504892367908</v>
      </c>
    </row>
    <row r="30" spans="1:8" x14ac:dyDescent="0.25">
      <c r="A30" s="13" t="n">
        <f>IF($B3="","",$B3)</f>
        <v>1.0</v>
      </c>
      <c r="B30" s="22" t="n">
        <f t="shared" si="14"/>
        <v>44620.229166666664</v>
      </c>
      <c r="C30" s="30" t="n">
        <f>IF(A30="","",0)</f>
        <v>0.0</v>
      </c>
      <c r="D30" s="30" t="n">
        <f>IF(B30="","",-SUMIF($AC11:$BA11,$L$3,$CE11:$DC11))</f>
        <v>0.0</v>
      </c>
      <c r="E30" s="30" t="n">
        <f>IF(A30="","",0)</f>
        <v>0.0</v>
      </c>
      <c r="F30" s="30" t="n">
        <f>IF(A30="","",0)</f>
        <v>0.0</v>
      </c>
    </row>
    <row r="31" spans="1:8" x14ac:dyDescent="0.25">
      <c r="A31" s="13" t="n">
        <f>IF($B4="","",$B4)</f>
        <v>2.0</v>
      </c>
      <c r="B31" s="22" t="n">
        <f t="shared" si="14"/>
        <v>44620.229166666664</v>
      </c>
      <c r="C31" s="30" t="n">
        <f>IF(A31="","",0)</f>
        <v>0.0</v>
      </c>
      <c r="D31" s="30" t="n">
        <f>IF(B31="","",-SUMIF($AC12:$BA12,$L$3,$CE12:$DC12))</f>
        <v>-130.88062622309135</v>
      </c>
      <c r="E31" s="30" t="n">
        <f>IF(A31="","",0)</f>
        <v>0.0</v>
      </c>
      <c r="F31" s="30" t="n">
        <f>IF(A31="","",0)</f>
        <v>0.0</v>
      </c>
    </row>
    <row r="32" spans="1:8" x14ac:dyDescent="0.25">
      <c r="A32" s="13" t="n">
        <f>IF($B5="","",$B5)</f>
        <v>3.0</v>
      </c>
      <c r="B32" s="22" t="n">
        <f t="shared" si="14"/>
        <v>44620.229166666664</v>
      </c>
      <c r="C32" s="30" t="n">
        <f>IF(A32="","",0)</f>
        <v>0.0</v>
      </c>
      <c r="D32" s="30" t="n">
        <f>IF(B32="","",-SUMIF($AC13:$BA13,$L$3,$CE13:$DC13))</f>
        <v>-271.4285714285717</v>
      </c>
      <c r="E32" s="30" t="n">
        <f>IF(A32="","",0)</f>
        <v>0.0</v>
      </c>
      <c r="F32" s="30" t="n">
        <f>IF(A32="","",0)</f>
        <v>0.0</v>
      </c>
    </row>
    <row r="33" spans="1:9" x14ac:dyDescent="0.25">
      <c r="A33" s="13" t="n">
        <f>IF($B6="","",$B6)</f>
        <v>4.0</v>
      </c>
      <c r="B33" s="22" t="n">
        <f t="shared" si="14"/>
        <v>44620.229166666664</v>
      </c>
      <c r="C33" s="30" t="n">
        <f>IF(A33="","",0)</f>
        <v>0.0</v>
      </c>
      <c r="D33" s="30" t="n">
        <f>IF(B33="","",-SUMIF($AC14:$BA14,$L$3,$CE14:$DC14))</f>
        <v>-65.44031311154612</v>
      </c>
      <c r="E33" s="30" t="n">
        <f>IF(A33="","",0)</f>
        <v>0.0</v>
      </c>
      <c r="F33" s="30" t="n">
        <f>IF(A33="","",0)</f>
        <v>0.0</v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1" t="s">
        <v>58</v>
      </c>
      <c r="B35" s="71"/>
      <c r="C35" s="71"/>
      <c r="D35" s="71"/>
      <c r="E35" s="71"/>
      <c r="F35" s="71"/>
      <c r="G35" s="71"/>
      <c r="H35" s="71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 t="n">
        <f t="shared" ref="B37:B42" si="15">IF(A37="","",$L$3)</f>
        <v>44620.229166666664</v>
      </c>
      <c r="C37" s="30" t="n">
        <f>INV!E2+INV!F2</f>
        <v>1900.0</v>
      </c>
      <c r="D37" s="30" t="n">
        <f>IF(B37="","",0)</f>
        <v>0.0</v>
      </c>
      <c r="E37" s="30" t="n">
        <f>IF(B37="","",IF(SUM(C37:D42)&gt;0,0,-SUM(C37:D42)))</f>
        <v>0.0</v>
      </c>
      <c r="F37" s="32" t="n">
        <f>IF(B37="","",SUM(C37:E42))</f>
        <v>1775.068589236791</v>
      </c>
      <c r="H37" s="34"/>
      <c r="I37" s="34"/>
    </row>
    <row r="38" spans="1:9" x14ac:dyDescent="0.25">
      <c r="A38" s="13" t="n">
        <f>IF($B3="","",$B3)</f>
        <v>1.0</v>
      </c>
      <c r="B38" s="22" t="n">
        <f t="shared" si="15"/>
        <v>44620.229166666664</v>
      </c>
      <c r="C38" s="30" t="n">
        <f>IF(A38="","",0)</f>
        <v>0.0</v>
      </c>
      <c r="D38" s="30" t="n">
        <f>IF(B38="","",D30-D20)</f>
        <v>0.0</v>
      </c>
      <c r="E38" s="30" t="n">
        <f>IF(A38="","",0)</f>
        <v>0.0</v>
      </c>
      <c r="F38" s="30" t="n">
        <f>IF(A38="","",0)</f>
        <v>0.0</v>
      </c>
    </row>
    <row r="39" spans="1:9" x14ac:dyDescent="0.25">
      <c r="A39" s="13" t="n">
        <f>IF($B4="","",$B4)</f>
        <v>2.0</v>
      </c>
      <c r="B39" s="22" t="n">
        <f t="shared" si="15"/>
        <v>44620.229166666664</v>
      </c>
      <c r="C39" s="30" t="n">
        <f>IF(A39="","",0)</f>
        <v>0.0</v>
      </c>
      <c r="D39" s="30" t="n">
        <f>IF(B39="","",D31-D21)</f>
        <v>-83.28762622309135</v>
      </c>
      <c r="E39" s="30" t="n">
        <f>IF(A39="","",0)</f>
        <v>0.0</v>
      </c>
      <c r="F39" s="30" t="n">
        <f>IF(A39="","",0)</f>
        <v>0.0</v>
      </c>
    </row>
    <row r="40" spans="1:9" x14ac:dyDescent="0.25">
      <c r="A40" s="13" t="n">
        <f>IF($B5="","",$B5)</f>
        <v>3.0</v>
      </c>
      <c r="B40" s="22" t="n">
        <f t="shared" si="15"/>
        <v>44620.229166666664</v>
      </c>
      <c r="C40" s="30" t="n">
        <f>IF(A40="","",0)</f>
        <v>0.0</v>
      </c>
      <c r="D40" s="30" t="n">
        <f>IF(B40="","",D32-D22)</f>
        <v>2.857142834500337E-5</v>
      </c>
      <c r="E40" s="30" t="n">
        <f>IF(A40="","",0)</f>
        <v>0.0</v>
      </c>
      <c r="F40" s="30" t="n">
        <f>IF(A40="","",0)</f>
        <v>0.0</v>
      </c>
    </row>
    <row r="41" spans="1:9" x14ac:dyDescent="0.25">
      <c r="A41" s="13" t="n">
        <f>IF($B6="","",$B6)</f>
        <v>4.0</v>
      </c>
      <c r="B41" s="22" t="n">
        <f t="shared" si="15"/>
        <v>44620.229166666664</v>
      </c>
      <c r="C41" s="30" t="n">
        <f>IF(B41="","",C33+$C$25)</f>
        <v>0.0</v>
      </c>
      <c r="D41" s="30" t="n">
        <f>IF(B41="","",D33-D23)</f>
        <v>-41.643813111546116</v>
      </c>
      <c r="E41" s="30" t="n">
        <f>IF(A41="","",0)</f>
        <v>0.0</v>
      </c>
      <c r="F41" s="30" t="n">
        <f>IF(A41="","",0)</f>
        <v>0.0</v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1" t="s">
        <v>59</v>
      </c>
      <c r="B44" s="71"/>
      <c r="C44" s="71"/>
      <c r="D44" s="71"/>
      <c r="E44" s="71"/>
      <c r="F44" s="71"/>
      <c r="G44" s="71"/>
      <c r="H44" s="71"/>
    </row>
    <row r="45" spans="1:9" x14ac:dyDescent="0.25">
      <c r="A45" s="18" t="s">
        <v>0</v>
      </c>
      <c r="B45" s="18" t="s">
        <v>60</v>
      </c>
      <c r="C45" s="18" t="s">
        <v>2</v>
      </c>
      <c r="D45" s="18" t="s">
        <v>61</v>
      </c>
      <c r="E45" s="18" t="s">
        <v>16</v>
      </c>
      <c r="F45" s="18" t="s">
        <v>3</v>
      </c>
      <c r="G45" s="28" t="s">
        <v>62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4" t="s">
        <v>45</v>
      </c>
    </row>
    <row r="47" spans="1:9" x14ac:dyDescent="0.25">
      <c r="A47" s="22" t="n">
        <f>IF(D39=0,"",B39)</f>
        <v>44620.229166666664</v>
      </c>
      <c r="B47" s="22" t="n">
        <f t="shared" si="16"/>
        <v>44620.229166666664</v>
      </c>
      <c r="C47" s="13" t="str">
        <f t="shared" si="17"/>
        <v>SO1</v>
      </c>
      <c r="D47" s="13" t="str">
        <f>IF(A47="","","Revenue")</f>
        <v>Revenue</v>
      </c>
      <c r="E47" s="30" t="n">
        <f>IF(D47="Revenue",D39,"")</f>
        <v>-83.28762622309135</v>
      </c>
      <c r="F47" s="13" t="n">
        <f>IF(A47="","",A39)</f>
        <v>2.0</v>
      </c>
      <c r="G47" s="74"/>
    </row>
    <row r="48" spans="1:9" x14ac:dyDescent="0.25">
      <c r="A48" s="22" t="n">
        <f>IF(D40=0,"",B40)</f>
        <v>44620.229166666664</v>
      </c>
      <c r="B48" s="22" t="n">
        <f t="shared" si="16"/>
        <v>44620.229166666664</v>
      </c>
      <c r="C48" s="13" t="str">
        <f t="shared" si="17"/>
        <v>SO1</v>
      </c>
      <c r="D48" s="13" t="str">
        <f>IF(A48="","","Revenue")</f>
        <v>Revenue</v>
      </c>
      <c r="E48" s="30" t="n">
        <f>IF(D48="Revenue",D40,"")</f>
        <v>2.857142834500337E-5</v>
      </c>
      <c r="F48" s="13" t="n">
        <f>IF(A48="","",A40)</f>
        <v>3.0</v>
      </c>
      <c r="G48" s="74"/>
    </row>
    <row r="49" spans="1:7" x14ac:dyDescent="0.25">
      <c r="A49" s="22" t="n">
        <f>IF(D41=0,"",B41)</f>
        <v>44620.229166666664</v>
      </c>
      <c r="B49" s="22" t="n">
        <f t="shared" si="16"/>
        <v>44620.229166666664</v>
      </c>
      <c r="C49" s="13" t="str">
        <f t="shared" si="17"/>
        <v>SO1</v>
      </c>
      <c r="D49" s="13" t="str">
        <f>IF(A49="","","Revenue")</f>
        <v>Revenue</v>
      </c>
      <c r="E49" s="30" t="n">
        <f>IF(D49="Revenue",D41,"")</f>
        <v>-41.643813111546116</v>
      </c>
      <c r="F49" s="13" t="n">
        <f>IF(A49="","",A41)</f>
        <v>4.0</v>
      </c>
      <c r="G49" s="74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4"/>
    </row>
    <row r="51" spans="1:7" x14ac:dyDescent="0.25">
      <c r="A51" s="22" t="n">
        <f>IF(OR(E29&lt;&gt;0,E25&lt;&gt;0),L3,"")</f>
        <v>44620.229166666664</v>
      </c>
      <c r="B51" s="22" t="n">
        <f t="shared" si="16"/>
        <v>44620.229166666664</v>
      </c>
      <c r="C51" s="13" t="str">
        <f t="shared" si="17"/>
        <v>SO1</v>
      </c>
      <c r="D51" s="13" t="str">
        <f>IF(A51="","","Unbilled_Charge")</f>
        <v>Unbilled_Charge</v>
      </c>
      <c r="E51" s="30" t="n">
        <f>IF(A51="","",E29-E25)</f>
        <v>-342.818</v>
      </c>
      <c r="F51" s="13" t="n">
        <f>IF(A51="","",A37)</f>
        <v>0.0</v>
      </c>
      <c r="G51" s="36" t="s">
        <v>63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customWidth="true" width="28.85546875"/>
    <col min="2" max="2" customWidth="true" width="33.28515625"/>
  </cols>
  <sheetData>
    <row r="1" spans="1:7" x14ac:dyDescent="0.25">
      <c r="A1" s="2" t="s">
        <v>64</v>
      </c>
      <c r="B1" s="2" t="s">
        <v>65</v>
      </c>
      <c r="C1" s="2" t="s">
        <v>66</v>
      </c>
      <c r="D1" s="2"/>
      <c r="E1" s="2" t="s">
        <v>67</v>
      </c>
    </row>
    <row r="2" spans="1:7" x14ac:dyDescent="0.25">
      <c r="A2" t="s" s="0">
        <v>68</v>
      </c>
      <c r="B2" t="s" s="0">
        <v>69</v>
      </c>
      <c r="C2" t="s" s="0">
        <v>70</v>
      </c>
      <c r="E2" t="s" s="0">
        <v>71</v>
      </c>
    </row>
    <row r="3" spans="1:7" x14ac:dyDescent="0.25">
      <c r="A3" t="s" s="0">
        <v>68</v>
      </c>
      <c r="B3" s="37" t="s">
        <v>50</v>
      </c>
      <c r="C3" t="s" s="0">
        <v>70</v>
      </c>
    </row>
    <row r="4" spans="1:7" x14ac:dyDescent="0.25">
      <c r="A4" t="s" s="0">
        <v>68</v>
      </c>
      <c r="B4" t="s" s="0">
        <v>72</v>
      </c>
      <c r="C4" t="s" s="0">
        <v>70</v>
      </c>
    </row>
    <row r="5" spans="1:7" x14ac:dyDescent="0.25">
      <c r="A5" t="s" s="0">
        <v>68</v>
      </c>
      <c r="B5" t="s" s="0">
        <v>73</v>
      </c>
      <c r="C5" t="s" s="0">
        <v>70</v>
      </c>
    </row>
    <row r="6" spans="1:7" x14ac:dyDescent="0.25">
      <c r="A6" t="s" s="0">
        <v>68</v>
      </c>
      <c r="B6" s="37" t="s">
        <v>74</v>
      </c>
      <c r="C6" t="s" s="0">
        <v>70</v>
      </c>
    </row>
    <row r="7" spans="1:7" x14ac:dyDescent="0.25">
      <c r="A7" t="s" s="0">
        <v>68</v>
      </c>
      <c r="B7" t="s" s="0">
        <v>75</v>
      </c>
      <c r="C7" t="s" s="0">
        <v>70</v>
      </c>
    </row>
    <row r="8" spans="1:7" x14ac:dyDescent="0.25">
      <c r="A8" t="s" s="0">
        <v>68</v>
      </c>
      <c r="B8" t="s" s="0">
        <v>76</v>
      </c>
      <c r="C8" t="s" s="0">
        <v>70</v>
      </c>
    </row>
    <row r="9" spans="1:7" x14ac:dyDescent="0.25">
      <c r="A9" t="s" s="0">
        <v>77</v>
      </c>
      <c r="B9" t="s" s="0">
        <v>78</v>
      </c>
      <c r="C9" t="s" s="0">
        <v>79</v>
      </c>
      <c r="E9" t="s" s="0">
        <v>71</v>
      </c>
    </row>
    <row r="10" spans="1:7" x14ac:dyDescent="0.25">
      <c r="A10" t="s" s="0">
        <v>77</v>
      </c>
      <c r="B10" t="s" s="0">
        <v>80</v>
      </c>
      <c r="C10" t="s" s="0">
        <v>79</v>
      </c>
    </row>
    <row r="11" spans="1:7" x14ac:dyDescent="0.25">
      <c r="A11" t="s" s="0">
        <v>77</v>
      </c>
      <c r="B11" t="s" s="0">
        <v>81</v>
      </c>
      <c r="C11" t="s" s="0">
        <v>79</v>
      </c>
    </row>
    <row r="12" spans="1:7" x14ac:dyDescent="0.25">
      <c r="A12" t="s" s="0">
        <v>77</v>
      </c>
      <c r="B12" t="s" s="0">
        <v>82</v>
      </c>
      <c r="C12" t="s" s="0">
        <v>79</v>
      </c>
    </row>
    <row r="13" spans="1:7" x14ac:dyDescent="0.25">
      <c r="A13" t="s" s="0">
        <v>83</v>
      </c>
      <c r="B13" t="s" s="0">
        <v>84</v>
      </c>
      <c r="C13" t="s" s="0">
        <v>85</v>
      </c>
      <c r="E13" t="s" s="0">
        <v>86</v>
      </c>
      <c r="G13" s="2" t="s">
        <v>87</v>
      </c>
    </row>
    <row r="14" spans="1:7" x14ac:dyDescent="0.25">
      <c r="A14" t="s" s="0">
        <v>83</v>
      </c>
      <c r="B14" t="s" s="0">
        <v>88</v>
      </c>
      <c r="C14" t="s" s="0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customWidth="true" style="38" width="19.140625"/>
    <col min="2" max="2" customWidth="true" style="38" width="15.42578125"/>
    <col min="3" max="3" customWidth="true" style="38" width="12.5703125"/>
    <col min="4" max="4" customWidth="true" style="38" width="23.7109375"/>
    <col min="5" max="5" customWidth="true" style="38" width="23.140625"/>
    <col min="6" max="6" customWidth="true" style="38" width="10.85546875"/>
    <col min="7" max="16384" style="38" width="8.7109375"/>
  </cols>
  <sheetData>
    <row r="1" spans="1:6" x14ac:dyDescent="0.25">
      <c r="A1" s="39" t="s">
        <v>0</v>
      </c>
      <c r="B1" s="39" t="s">
        <v>60</v>
      </c>
      <c r="C1" s="39" t="s">
        <v>2</v>
      </c>
      <c r="D1" s="39" t="s">
        <v>89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n">
        <f>IF(RevRec_Calc!A47="","",RevRec_Calc!A47)</f>
        <v>44620.229166666664</v>
      </c>
      <c r="B3" s="40" t="n">
        <f>IF(A3="","",RevRec_Calc!B47)</f>
        <v>44620.229166666664</v>
      </c>
      <c r="C3" s="40" t="str">
        <f>IF(A3="","",RevRec_Calc!C47)</f>
        <v>SO1</v>
      </c>
      <c r="D3" s="40" t="str">
        <f>IF(A3="","",RevRec_Calc!D47)</f>
        <v>Revenue</v>
      </c>
      <c r="E3" s="41" t="n">
        <f>IF(A3="","",RevRec_Calc!E47)</f>
        <v>-83.28762622309135</v>
      </c>
      <c r="F3" s="5" t="n">
        <f>IF(A3="","",RevRec_Calc!F47)</f>
        <v>2.0</v>
      </c>
    </row>
    <row r="4" spans="1:6" x14ac:dyDescent="0.25">
      <c r="A4" s="40" t="n">
        <f>IF(RevRec_Calc!A48="","",RevRec_Calc!A48)</f>
        <v>44620.229166666664</v>
      </c>
      <c r="B4" s="40" t="n">
        <f>IF(A4="","",RevRec_Calc!B48)</f>
        <v>44620.229166666664</v>
      </c>
      <c r="C4" s="40" t="str">
        <f>IF(A4="","",RevRec_Calc!C48)</f>
        <v>SO1</v>
      </c>
      <c r="D4" s="40" t="str">
        <f>IF(A4="","",RevRec_Calc!D48)</f>
        <v>Revenue</v>
      </c>
      <c r="E4" s="41" t="n">
        <f>IF(A4="","",RevRec_Calc!E48)</f>
        <v>2.857142834500337E-5</v>
      </c>
      <c r="F4" s="5" t="n">
        <f>IF(A4="","",RevRec_Calc!F48)</f>
        <v>3.0</v>
      </c>
    </row>
    <row r="5" spans="1:6" x14ac:dyDescent="0.25">
      <c r="A5" s="40" t="n">
        <f>IF(RevRec_Calc!A49="","",RevRec_Calc!A49)</f>
        <v>44620.229166666664</v>
      </c>
      <c r="B5" s="40" t="n">
        <f>IF(A5="","",RevRec_Calc!B49)</f>
        <v>44620.229166666664</v>
      </c>
      <c r="C5" s="40" t="str">
        <f>IF(A5="","",RevRec_Calc!C49)</f>
        <v>SO1</v>
      </c>
      <c r="D5" s="40" t="str">
        <f>IF(A5="","",RevRec_Calc!D49)</f>
        <v>Revenue</v>
      </c>
      <c r="E5" s="41" t="n">
        <f>IF(A5="","",RevRec_Calc!E49)</f>
        <v>-41.643813111546116</v>
      </c>
      <c r="F5" s="5" t="n">
        <f>IF(A5="","",RevRec_Calc!F49)</f>
        <v>4.0</v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n">
        <f>IF(RevRec_Calc!A51="","",RevRec_Calc!A51)</f>
        <v>44620.229166666664</v>
      </c>
      <c r="B7" s="40" t="n">
        <f>IF(A7="","",RevRec_Calc!B51)</f>
        <v>44620.229166666664</v>
      </c>
      <c r="C7" s="40" t="str">
        <f>IF(A7="","",RevRec_Calc!C51)</f>
        <v>SO1</v>
      </c>
      <c r="D7" s="40" t="str">
        <f>IF(A7="","",RevRec_Calc!D51)</f>
        <v>Unbilled_Charge</v>
      </c>
      <c r="E7" s="41" t="n">
        <f>IF(A7="","",RevRec_Calc!E51)</f>
        <v>-342.818</v>
      </c>
      <c r="F7" s="5" t="n">
        <f>IF(A7="","",RevRec_Calc!F51)</f>
        <v>0.0</v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46.7109375"/>
    <col min="6" max="6" customWidth="true" width="45.5703125"/>
    <col min="7" max="7" customWidth="true" width="29.7109375"/>
    <col min="8" max="8" customWidth="true" width="52.140625"/>
    <col min="9" max="9" customWidth="true" width="30.42578125"/>
    <col min="12" max="13" customWidth="true" width="9.7109375"/>
    <col min="16" max="16" customWidth="true" width="18.7109375"/>
  </cols>
  <sheetData>
    <row r="1" spans="1:17" ht="28.5" x14ac:dyDescent="0.45">
      <c r="A1" s="77">
        <v>44592</v>
      </c>
      <c r="B1" s="77"/>
      <c r="C1" s="77"/>
      <c r="D1" s="77"/>
      <c r="E1" s="77"/>
      <c r="F1" s="77"/>
      <c r="G1" s="77"/>
      <c r="H1" s="77"/>
      <c r="I1" s="77"/>
      <c r="L1" s="78" t="s">
        <v>90</v>
      </c>
      <c r="M1" s="78"/>
      <c r="N1" s="78"/>
      <c r="O1" s="78"/>
      <c r="P1" s="78"/>
      <c r="Q1" s="78"/>
    </row>
    <row r="2" spans="1:17" x14ac:dyDescent="0.25">
      <c r="A2" s="2" t="s">
        <v>70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L3" s="42" t="s">
        <v>0</v>
      </c>
      <c r="M3" s="42" t="s">
        <v>60</v>
      </c>
      <c r="N3" s="42" t="s">
        <v>2</v>
      </c>
      <c r="O3" s="42" t="s">
        <v>89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 s="0">
        <v>96</v>
      </c>
      <c r="D4" s="5">
        <v>0</v>
      </c>
      <c r="E4" s="0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96</v>
      </c>
      <c r="O4" s="44" t="s">
        <v>45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 s="0">
        <v>96</v>
      </c>
      <c r="D5" s="5">
        <v>1</v>
      </c>
      <c r="E5" s="0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96</v>
      </c>
      <c r="O5" s="44" t="s">
        <v>45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 s="0">
        <v>96</v>
      </c>
      <c r="D6" s="5">
        <v>2</v>
      </c>
      <c r="E6" s="0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96</v>
      </c>
      <c r="O6" s="44" t="s">
        <v>45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 s="0">
        <v>96</v>
      </c>
      <c r="D7" s="5">
        <v>3</v>
      </c>
      <c r="E7" s="0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96</v>
      </c>
      <c r="O7" s="44" t="s">
        <v>63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 s="0">
        <v>96</v>
      </c>
      <c r="D8" s="5">
        <v>4</v>
      </c>
      <c r="E8" s="0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85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97</v>
      </c>
      <c r="F11" s="3" t="s">
        <v>98</v>
      </c>
    </row>
    <row r="13" spans="1:17" x14ac:dyDescent="0.25">
      <c r="A13" s="2" t="s">
        <v>79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99</v>
      </c>
      <c r="F14" s="8" t="s">
        <v>100</v>
      </c>
      <c r="G14" s="8" t="s">
        <v>101</v>
      </c>
      <c r="H14" s="8" t="s">
        <v>102</v>
      </c>
    </row>
    <row r="19" spans="1:17" ht="28.5" x14ac:dyDescent="0.45">
      <c r="A19" s="77">
        <v>44620</v>
      </c>
      <c r="B19" s="77"/>
      <c r="C19" s="77"/>
      <c r="D19" s="77"/>
      <c r="E19" s="77"/>
      <c r="F19" s="77"/>
      <c r="G19" s="77"/>
      <c r="H19" s="77"/>
      <c r="I19" s="77"/>
      <c r="L19" s="78" t="s">
        <v>90</v>
      </c>
      <c r="M19" s="78"/>
      <c r="N19" s="78"/>
      <c r="O19" s="78"/>
      <c r="P19" s="78"/>
      <c r="Q19" s="78"/>
    </row>
    <row r="20" spans="1:17" x14ac:dyDescent="0.25">
      <c r="A20" s="2" t="s">
        <v>70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95</v>
      </c>
      <c r="L21" s="42" t="s">
        <v>0</v>
      </c>
      <c r="M21" s="42" t="s">
        <v>60</v>
      </c>
      <c r="N21" s="42" t="s">
        <v>2</v>
      </c>
      <c r="O21" s="42" t="s">
        <v>89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 s="0">
        <v>96</v>
      </c>
      <c r="D22" s="5">
        <v>0</v>
      </c>
      <c r="E22" s="0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96</v>
      </c>
      <c r="O22" s="44" t="s">
        <v>45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 s="0">
        <v>96</v>
      </c>
      <c r="D23" s="5">
        <v>1</v>
      </c>
      <c r="E23" s="0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96</v>
      </c>
      <c r="O23" s="44" t="s">
        <v>45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 s="0">
        <v>96</v>
      </c>
      <c r="D24" s="5">
        <v>2</v>
      </c>
      <c r="E24" s="0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96</v>
      </c>
      <c r="O24" s="44" t="s">
        <v>45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 s="0">
        <v>96</v>
      </c>
      <c r="D25" s="5">
        <v>3</v>
      </c>
      <c r="E25" s="0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96</v>
      </c>
      <c r="O25" s="44" t="s">
        <v>63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 s="0">
        <v>96</v>
      </c>
      <c r="D26" s="5">
        <v>4</v>
      </c>
      <c r="E26" s="0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85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97</v>
      </c>
      <c r="F29" s="3" t="s">
        <v>98</v>
      </c>
    </row>
    <row r="30" spans="1:17" x14ac:dyDescent="0.25">
      <c r="A30" s="4">
        <v>44620</v>
      </c>
      <c r="B30" s="4">
        <v>44620</v>
      </c>
      <c r="C30" t="s" s="0">
        <v>96</v>
      </c>
      <c r="D30" s="0">
        <v>0</v>
      </c>
      <c r="E30" s="0">
        <v>1900</v>
      </c>
      <c r="F30" s="0">
        <v>0</v>
      </c>
    </row>
    <row r="32" spans="1:17" x14ac:dyDescent="0.25">
      <c r="A32" s="2" t="s">
        <v>79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99</v>
      </c>
      <c r="F33" s="8" t="s">
        <v>100</v>
      </c>
      <c r="G33" s="8" t="s">
        <v>101</v>
      </c>
      <c r="H33" s="8" t="s">
        <v>102</v>
      </c>
    </row>
    <row r="34" spans="1:17" x14ac:dyDescent="0.25">
      <c r="A34" s="4">
        <v>44620</v>
      </c>
      <c r="B34" s="4">
        <v>44620</v>
      </c>
      <c r="C34" t="s" s="0">
        <v>96</v>
      </c>
      <c r="D34" s="0">
        <v>0</v>
      </c>
      <c r="E34" s="83">
        <v>1900</v>
      </c>
      <c r="F34" s="9">
        <v>342.81800391389402</v>
      </c>
      <c r="G34" s="9">
        <v>0</v>
      </c>
      <c r="H34" s="0">
        <v>342.81799999999998</v>
      </c>
    </row>
    <row r="35" spans="1:17" x14ac:dyDescent="0.25">
      <c r="A35" s="4">
        <v>44620</v>
      </c>
      <c r="B35" s="4">
        <v>44620</v>
      </c>
      <c r="C35" t="s" s="0">
        <v>96</v>
      </c>
      <c r="D35" s="0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 s="0">
        <v>96</v>
      </c>
      <c r="D36" s="0">
        <v>2</v>
      </c>
      <c r="E36" s="9">
        <v>0</v>
      </c>
      <c r="F36" s="9">
        <v>0</v>
      </c>
      <c r="G36" s="9">
        <v>-47.592954990215297</v>
      </c>
      <c r="H36" s="0">
        <v>-47.593000000000004</v>
      </c>
    </row>
    <row r="37" spans="1:17" x14ac:dyDescent="0.25">
      <c r="A37" s="4">
        <v>44620</v>
      </c>
      <c r="B37" s="4">
        <v>44620</v>
      </c>
      <c r="C37" t="s" s="0">
        <v>96</v>
      </c>
      <c r="D37" s="0">
        <v>3</v>
      </c>
      <c r="E37" s="9">
        <v>0</v>
      </c>
      <c r="F37" s="9">
        <v>0</v>
      </c>
      <c r="G37" s="9">
        <v>-271.42857142857099</v>
      </c>
      <c r="H37" s="0">
        <v>-271.42860000000002</v>
      </c>
    </row>
    <row r="38" spans="1:17" x14ac:dyDescent="0.25">
      <c r="A38" s="4">
        <v>44620</v>
      </c>
      <c r="B38" s="4">
        <v>44620</v>
      </c>
      <c r="C38" t="s" s="0">
        <v>96</v>
      </c>
      <c r="D38" s="0">
        <v>4</v>
      </c>
      <c r="E38" s="9">
        <v>0</v>
      </c>
      <c r="F38" s="9">
        <v>0</v>
      </c>
      <c r="G38" s="9">
        <v>-23.796477495107599</v>
      </c>
      <c r="H38" s="0">
        <v>-23.796500000000002</v>
      </c>
    </row>
    <row r="41" spans="1:17" ht="28.5" x14ac:dyDescent="0.45">
      <c r="A41" s="77">
        <v>44651</v>
      </c>
      <c r="B41" s="77"/>
      <c r="C41" s="77"/>
      <c r="D41" s="77"/>
      <c r="E41" s="77"/>
      <c r="F41" s="77"/>
      <c r="G41" s="77"/>
      <c r="H41" s="77"/>
      <c r="I41" s="77"/>
      <c r="L41" s="78" t="s">
        <v>90</v>
      </c>
      <c r="M41" s="78"/>
      <c r="N41" s="78"/>
      <c r="O41" s="78"/>
      <c r="P41" s="78"/>
      <c r="Q41" s="78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91</v>
      </c>
      <c r="F43" s="8" t="s">
        <v>92</v>
      </c>
      <c r="G43" s="8" t="s">
        <v>93</v>
      </c>
      <c r="H43" s="8" t="s">
        <v>94</v>
      </c>
      <c r="I43" s="8" t="s">
        <v>95</v>
      </c>
      <c r="L43" s="42" t="s">
        <v>0</v>
      </c>
      <c r="M43" s="42" t="s">
        <v>60</v>
      </c>
      <c r="N43" s="42" t="s">
        <v>2</v>
      </c>
      <c r="O43" s="42" t="s">
        <v>89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 s="0">
        <v>96</v>
      </c>
      <c r="D44" s="5">
        <v>0</v>
      </c>
      <c r="E44" s="0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96</v>
      </c>
      <c r="O44" s="44" t="s">
        <v>45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 s="0">
        <v>96</v>
      </c>
      <c r="D45" s="5">
        <v>1</v>
      </c>
      <c r="E45" s="0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96</v>
      </c>
      <c r="O45" s="44" t="s">
        <v>45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 s="0">
        <v>96</v>
      </c>
      <c r="D46" s="5">
        <v>2</v>
      </c>
      <c r="E46" s="0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96</v>
      </c>
      <c r="O46" s="44" t="s">
        <v>45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 s="0">
        <v>96</v>
      </c>
      <c r="D47" s="5">
        <v>3</v>
      </c>
      <c r="E47" s="0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 s="0">
        <v>96</v>
      </c>
      <c r="D48" s="5">
        <v>4</v>
      </c>
      <c r="E48" s="0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85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97</v>
      </c>
      <c r="F51" s="3" t="s">
        <v>98</v>
      </c>
    </row>
    <row r="53" spans="1:17" x14ac:dyDescent="0.25">
      <c r="A53" s="2" t="s">
        <v>79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99</v>
      </c>
      <c r="F54" s="8" t="s">
        <v>100</v>
      </c>
      <c r="G54" s="8" t="s">
        <v>101</v>
      </c>
      <c r="H54" s="8" t="s">
        <v>102</v>
      </c>
    </row>
    <row r="55" spans="1:17" x14ac:dyDescent="0.25">
      <c r="A55" s="4">
        <v>44651</v>
      </c>
      <c r="B55" s="4">
        <v>44651</v>
      </c>
      <c r="C55" t="s" s="0">
        <v>96</v>
      </c>
      <c r="D55" s="0">
        <v>0</v>
      </c>
      <c r="E55" s="9">
        <v>1900</v>
      </c>
      <c r="F55" s="9">
        <v>0</v>
      </c>
      <c r="G55" s="9">
        <v>0</v>
      </c>
      <c r="H55" s="0">
        <v>1900</v>
      </c>
    </row>
    <row r="56" spans="1:17" x14ac:dyDescent="0.25">
      <c r="A56" s="4">
        <v>44651</v>
      </c>
      <c r="B56" s="4">
        <v>44651</v>
      </c>
      <c r="C56" t="s" s="0">
        <v>96</v>
      </c>
      <c r="D56" s="0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 s="0">
        <v>96</v>
      </c>
      <c r="D57" s="0">
        <v>2</v>
      </c>
      <c r="E57" s="9">
        <v>0</v>
      </c>
      <c r="F57" s="9">
        <v>0</v>
      </c>
      <c r="G57" s="9">
        <v>-130.88059999999999</v>
      </c>
      <c r="H57" s="0">
        <v>-130.88059999999999</v>
      </c>
    </row>
    <row r="58" spans="1:17" x14ac:dyDescent="0.25">
      <c r="A58" s="4">
        <v>44651</v>
      </c>
      <c r="B58" s="4">
        <v>44651</v>
      </c>
      <c r="C58" t="s" s="0">
        <v>96</v>
      </c>
      <c r="D58" s="0">
        <v>3</v>
      </c>
      <c r="E58" s="9">
        <v>0</v>
      </c>
      <c r="F58" s="9">
        <v>0</v>
      </c>
      <c r="G58" s="9">
        <v>-271.42860000000002</v>
      </c>
      <c r="H58" s="0">
        <v>-271.42860000000002</v>
      </c>
    </row>
    <row r="59" spans="1:17" x14ac:dyDescent="0.25">
      <c r="A59" s="4">
        <v>44651</v>
      </c>
      <c r="B59" s="4">
        <v>44651</v>
      </c>
      <c r="C59" t="s" s="0">
        <v>96</v>
      </c>
      <c r="D59" s="0">
        <v>4</v>
      </c>
      <c r="E59" s="9">
        <v>0</v>
      </c>
      <c r="F59" s="9">
        <v>0</v>
      </c>
      <c r="G59" s="9">
        <v>-65.440299999999993</v>
      </c>
      <c r="H59" s="0">
        <v>-65.440299999999993</v>
      </c>
    </row>
    <row r="62" spans="1:17" ht="28.5" x14ac:dyDescent="0.45">
      <c r="A62" s="77">
        <v>44681</v>
      </c>
      <c r="B62" s="77"/>
      <c r="C62" s="77"/>
      <c r="D62" s="77"/>
      <c r="E62" s="77"/>
      <c r="F62" s="77"/>
      <c r="G62" s="77"/>
      <c r="H62" s="77"/>
      <c r="I62" s="77"/>
      <c r="L62" s="78" t="s">
        <v>90</v>
      </c>
      <c r="M62" s="78"/>
      <c r="N62" s="78"/>
      <c r="O62" s="78"/>
      <c r="P62" s="78"/>
      <c r="Q62" s="78"/>
    </row>
    <row r="64" spans="1:17" x14ac:dyDescent="0.25">
      <c r="A64" s="2" t="s">
        <v>70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91</v>
      </c>
      <c r="F65" s="8" t="s">
        <v>92</v>
      </c>
      <c r="G65" s="8" t="s">
        <v>93</v>
      </c>
      <c r="H65" s="8" t="s">
        <v>94</v>
      </c>
      <c r="I65" s="8" t="s">
        <v>95</v>
      </c>
      <c r="L65" s="42" t="s">
        <v>0</v>
      </c>
      <c r="M65" s="42" t="s">
        <v>60</v>
      </c>
      <c r="N65" s="42" t="s">
        <v>2</v>
      </c>
      <c r="O65" s="42" t="s">
        <v>89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 s="0">
        <v>96</v>
      </c>
      <c r="D66" s="5">
        <v>0</v>
      </c>
      <c r="E66" s="0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96</v>
      </c>
      <c r="O66" s="44" t="s">
        <v>45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 s="0">
        <v>96</v>
      </c>
      <c r="D67" s="5">
        <v>1</v>
      </c>
      <c r="E67" s="0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96</v>
      </c>
      <c r="O67" s="44" t="s">
        <v>45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 s="0">
        <v>96</v>
      </c>
      <c r="D68" s="5">
        <v>2</v>
      </c>
      <c r="E68" s="0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96</v>
      </c>
      <c r="O68" s="44" t="s">
        <v>45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 s="0">
        <v>96</v>
      </c>
      <c r="D69" s="5">
        <v>3</v>
      </c>
      <c r="E69" s="0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 s="0">
        <v>96</v>
      </c>
      <c r="D70" s="5">
        <v>4</v>
      </c>
      <c r="E70" s="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85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97</v>
      </c>
      <c r="F74" s="3" t="s">
        <v>98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79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99</v>
      </c>
      <c r="F77" s="8" t="s">
        <v>100</v>
      </c>
      <c r="G77" s="8" t="s">
        <v>101</v>
      </c>
      <c r="H77" s="8" t="s">
        <v>102</v>
      </c>
    </row>
    <row r="78" spans="1:17" x14ac:dyDescent="0.25">
      <c r="A78" s="4">
        <v>44681</v>
      </c>
      <c r="B78" s="4">
        <v>44681</v>
      </c>
      <c r="C78" t="s" s="0">
        <v>96</v>
      </c>
      <c r="D78" s="0">
        <v>0</v>
      </c>
      <c r="E78" s="9">
        <v>1900</v>
      </c>
      <c r="F78" s="9">
        <v>0</v>
      </c>
      <c r="G78" s="9">
        <v>0</v>
      </c>
      <c r="H78" s="0">
        <v>1900</v>
      </c>
    </row>
    <row r="79" spans="1:17" x14ac:dyDescent="0.25">
      <c r="A79" s="4">
        <v>44681</v>
      </c>
      <c r="B79" s="4">
        <v>44681</v>
      </c>
      <c r="C79" t="s" s="0">
        <v>96</v>
      </c>
      <c r="D79" s="0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 s="0">
        <v>96</v>
      </c>
      <c r="D80" s="0">
        <v>2</v>
      </c>
      <c r="E80" s="9">
        <v>0</v>
      </c>
      <c r="F80" s="9">
        <v>0</v>
      </c>
      <c r="G80" s="9">
        <v>-223.09200000000001</v>
      </c>
      <c r="H80" s="0">
        <v>-223.09200000000001</v>
      </c>
    </row>
    <row r="81" spans="1:17" x14ac:dyDescent="0.25">
      <c r="A81" s="4">
        <v>44681</v>
      </c>
      <c r="B81" s="4">
        <v>44681</v>
      </c>
      <c r="C81" t="s" s="0">
        <v>96</v>
      </c>
      <c r="D81" s="0">
        <v>3</v>
      </c>
      <c r="E81" s="9">
        <v>0</v>
      </c>
      <c r="F81" s="9">
        <v>0</v>
      </c>
      <c r="G81" s="9">
        <v>-271.42860000000002</v>
      </c>
      <c r="H81" s="0">
        <v>-271.42860000000002</v>
      </c>
    </row>
    <row r="82" spans="1:17" x14ac:dyDescent="0.25">
      <c r="A82" s="4">
        <v>44681</v>
      </c>
      <c r="B82" s="4">
        <v>44681</v>
      </c>
      <c r="C82" t="s" s="0">
        <v>96</v>
      </c>
      <c r="D82" s="0">
        <v>4</v>
      </c>
      <c r="E82" s="9">
        <v>0</v>
      </c>
      <c r="F82" s="9">
        <v>0</v>
      </c>
      <c r="G82" s="9">
        <v>-111.54600000000001</v>
      </c>
      <c r="H82" s="0">
        <v>-111.54600000000001</v>
      </c>
    </row>
    <row r="85" spans="1:17" ht="28.5" x14ac:dyDescent="0.45">
      <c r="A85" s="77">
        <v>44712</v>
      </c>
      <c r="B85" s="77"/>
      <c r="C85" s="77"/>
      <c r="D85" s="77"/>
      <c r="E85" s="77"/>
      <c r="F85" s="77"/>
      <c r="G85" s="77"/>
      <c r="H85" s="77"/>
      <c r="I85" s="77"/>
      <c r="L85" s="78" t="s">
        <v>90</v>
      </c>
      <c r="M85" s="78"/>
      <c r="N85" s="78"/>
      <c r="O85" s="78"/>
      <c r="P85" s="78"/>
      <c r="Q85" s="78"/>
    </row>
    <row r="87" spans="1:17" x14ac:dyDescent="0.25">
      <c r="A87" s="2" t="s">
        <v>70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91</v>
      </c>
      <c r="F88" s="8" t="s">
        <v>92</v>
      </c>
      <c r="G88" s="8" t="s">
        <v>93</v>
      </c>
      <c r="H88" s="8" t="s">
        <v>94</v>
      </c>
      <c r="I88" s="8" t="s">
        <v>95</v>
      </c>
      <c r="L88" s="42" t="s">
        <v>0</v>
      </c>
      <c r="M88" s="42" t="s">
        <v>60</v>
      </c>
      <c r="N88" s="42" t="s">
        <v>2</v>
      </c>
      <c r="O88" s="42" t="s">
        <v>89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 s="0">
        <v>96</v>
      </c>
      <c r="D89" s="5">
        <v>0</v>
      </c>
      <c r="E89" s="0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96</v>
      </c>
      <c r="O89" s="44" t="s">
        <v>45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 s="0">
        <v>96</v>
      </c>
      <c r="D90" s="5">
        <v>1</v>
      </c>
      <c r="E90" s="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96</v>
      </c>
      <c r="O90" s="44" t="s">
        <v>45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 s="0">
        <v>96</v>
      </c>
      <c r="D91" s="5">
        <v>2</v>
      </c>
      <c r="E91" s="0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96</v>
      </c>
      <c r="O91" s="44" t="s">
        <v>45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 s="0">
        <v>96</v>
      </c>
      <c r="D92" s="5">
        <v>3</v>
      </c>
      <c r="E92" s="0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 s="0">
        <v>96</v>
      </c>
      <c r="D93" s="5">
        <v>4</v>
      </c>
      <c r="E93" s="0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85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97</v>
      </c>
      <c r="F96" s="3" t="s">
        <v>98</v>
      </c>
    </row>
    <row r="97" spans="1:8" x14ac:dyDescent="0.25">
      <c r="A97" s="4">
        <v>44712</v>
      </c>
      <c r="B97" s="4">
        <v>44712</v>
      </c>
      <c r="C97" t="s" s="0">
        <v>96</v>
      </c>
      <c r="D97" s="0">
        <v>0</v>
      </c>
      <c r="E97" s="0">
        <v>600</v>
      </c>
      <c r="F97" s="0">
        <v>0</v>
      </c>
    </row>
    <row r="99" spans="1:8" x14ac:dyDescent="0.25">
      <c r="A99" s="2" t="s">
        <v>79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99</v>
      </c>
      <c r="F100" s="8" t="s">
        <v>100</v>
      </c>
      <c r="G100" s="8" t="s">
        <v>101</v>
      </c>
      <c r="H100" s="8" t="s">
        <v>102</v>
      </c>
    </row>
    <row r="101" spans="1:8" x14ac:dyDescent="0.25">
      <c r="A101" s="4">
        <v>44712</v>
      </c>
      <c r="B101" s="4">
        <v>44712</v>
      </c>
      <c r="C101" t="s" s="0">
        <v>96</v>
      </c>
      <c r="D101" s="0">
        <v>0</v>
      </c>
      <c r="E101" s="9">
        <v>1900</v>
      </c>
      <c r="F101" s="9">
        <v>0</v>
      </c>
      <c r="G101" s="9">
        <v>0</v>
      </c>
      <c r="H101" s="0">
        <v>1900</v>
      </c>
    </row>
    <row r="102" spans="1:8" x14ac:dyDescent="0.25">
      <c r="A102" s="4">
        <v>44712</v>
      </c>
      <c r="B102" s="4">
        <v>44712</v>
      </c>
      <c r="C102" t="s" s="0">
        <v>96</v>
      </c>
      <c r="D102" s="0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 s="0">
        <v>96</v>
      </c>
      <c r="D103" s="0">
        <v>2</v>
      </c>
      <c r="E103" s="9">
        <v>0</v>
      </c>
      <c r="F103" s="9">
        <v>0</v>
      </c>
      <c r="G103" s="9">
        <v>-319.63470000000001</v>
      </c>
      <c r="H103" s="0">
        <v>-319.63470000000001</v>
      </c>
    </row>
    <row r="104" spans="1:8" x14ac:dyDescent="0.25">
      <c r="A104" s="4">
        <v>44712</v>
      </c>
      <c r="B104" s="4">
        <v>44712</v>
      </c>
      <c r="C104" t="s" s="0">
        <v>96</v>
      </c>
      <c r="D104" s="0">
        <v>3</v>
      </c>
      <c r="E104" s="9">
        <v>0</v>
      </c>
      <c r="F104" s="9">
        <v>0</v>
      </c>
      <c r="G104" s="9">
        <v>-277.77780000000001</v>
      </c>
      <c r="H104" s="0">
        <v>-277.77780000000001</v>
      </c>
    </row>
    <row r="105" spans="1:8" x14ac:dyDescent="0.25">
      <c r="A105" s="4">
        <v>44712</v>
      </c>
      <c r="B105" s="4">
        <v>44712</v>
      </c>
      <c r="C105" t="s" s="0">
        <v>96</v>
      </c>
      <c r="D105" s="0">
        <v>4</v>
      </c>
      <c r="E105" s="9">
        <v>0</v>
      </c>
      <c r="F105" s="9">
        <v>0</v>
      </c>
      <c r="G105" s="9">
        <v>-319.63470000000001</v>
      </c>
      <c r="H105" s="0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customWidth="true" style="10" width="9.7109375"/>
    <col min="3" max="3" customWidth="true" style="10" width="17.5703125"/>
    <col min="4" max="4" customWidth="true" style="10" width="24.85546875"/>
    <col min="5" max="5" customWidth="true" style="10" width="19.5703125"/>
    <col min="6" max="6" customWidth="true" style="10" width="9.28515625"/>
    <col min="8" max="8" customWidth="true" style="10" width="11.0"/>
    <col min="9" max="9" customWidth="true" style="10" width="19.42578125"/>
    <col min="10" max="10" customWidth="true" style="10" width="9.28515625"/>
    <col min="11" max="11" customWidth="true" style="10" width="25.140625"/>
    <col min="14" max="14" customWidth="true" style="10" width="19.42578125"/>
    <col min="15" max="15" customWidth="true" style="10" width="25.5703125"/>
    <col min="16" max="16" customWidth="true" style="10" width="10.0"/>
    <col min="18" max="18" customWidth="true" style="10" width="25.7109375"/>
    <col min="19" max="19" customWidth="true" style="10" width="21.0"/>
    <col min="20" max="20" customWidth="true" style="10" width="23.0"/>
    <col min="21" max="21" customWidth="true" style="10" width="20.28515625"/>
    <col min="22" max="22" customWidth="true" style="10" width="18.42578125"/>
    <col min="26" max="26" customWidth="true" style="10" width="21.7109375"/>
    <col min="30" max="30" customWidth="true" style="10" width="9.7109375"/>
    <col min="31" max="31" customWidth="true" style="10" width="12.28515625"/>
    <col min="32" max="32" customWidth="true" style="10" width="12.7109375"/>
    <col min="33" max="33" customWidth="true" style="10" width="11.140625"/>
    <col min="34" max="34" customWidth="true" style="10" width="8.85546875"/>
    <col min="35" max="35" customWidth="true" style="10" width="15.140625"/>
    <col min="36" max="36" customWidth="true" style="10" width="15.5703125"/>
  </cols>
  <sheetData>
    <row r="1" spans="1:36" x14ac:dyDescent="0.25">
      <c r="U1" s="46"/>
      <c r="V1" s="46"/>
    </row>
    <row r="2" spans="1:36" x14ac:dyDescent="0.25">
      <c r="A2" s="80" t="s">
        <v>83</v>
      </c>
      <c r="B2" s="80"/>
      <c r="C2" s="80"/>
      <c r="D2" s="80"/>
      <c r="E2" s="80"/>
      <c r="F2" s="80"/>
      <c r="H2" s="81" t="s">
        <v>103</v>
      </c>
      <c r="I2" s="81"/>
      <c r="J2" s="81"/>
      <c r="K2" s="81"/>
      <c r="M2" s="81" t="s">
        <v>104</v>
      </c>
      <c r="N2" s="81"/>
      <c r="O2" s="81"/>
      <c r="P2" s="81"/>
      <c r="Q2" s="81"/>
    </row>
    <row r="3" spans="1:36" x14ac:dyDescent="0.25">
      <c r="A3" s="31" t="s">
        <v>105</v>
      </c>
      <c r="B3" s="31" t="s">
        <v>106</v>
      </c>
      <c r="C3" s="31" t="s">
        <v>107</v>
      </c>
      <c r="D3" s="31" t="s">
        <v>16</v>
      </c>
      <c r="E3" s="31" t="s">
        <v>108</v>
      </c>
      <c r="F3" s="31" t="s">
        <v>50</v>
      </c>
      <c r="G3" s="26"/>
      <c r="H3" s="47" t="s">
        <v>54</v>
      </c>
      <c r="I3" s="47" t="s">
        <v>45</v>
      </c>
      <c r="J3" s="47" t="s">
        <v>55</v>
      </c>
      <c r="K3" s="47" t="s">
        <v>56</v>
      </c>
      <c r="M3" s="47" t="s">
        <v>109</v>
      </c>
      <c r="N3" s="47" t="s">
        <v>110</v>
      </c>
      <c r="O3" s="47" t="s">
        <v>111</v>
      </c>
      <c r="P3" s="47" t="s">
        <v>112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 t="n">
        <f>A4</f>
        <v>44592.0</v>
      </c>
      <c r="C4" s="13" t="s">
        <v>45</v>
      </c>
      <c r="D4" s="48">
        <v>-47.592954990215297</v>
      </c>
      <c r="E4" s="48" t="s">
        <v>113</v>
      </c>
      <c r="F4" s="49">
        <v>2</v>
      </c>
      <c r="G4" s="50"/>
      <c r="H4" s="48"/>
      <c r="I4" s="48"/>
      <c r="J4" s="48"/>
      <c r="K4" s="48"/>
      <c r="L4" s="50"/>
      <c r="M4" s="82" t="s">
        <v>114</v>
      </c>
      <c r="N4" s="51" t="s">
        <v>56</v>
      </c>
      <c r="O4" s="48" t="n">
        <f>-I7</f>
        <v>342.81800391389385</v>
      </c>
      <c r="P4" s="48"/>
      <c r="Q4" s="13"/>
    </row>
    <row r="5" spans="1:36" x14ac:dyDescent="0.25">
      <c r="A5" s="22">
        <v>44592</v>
      </c>
      <c r="B5" s="22" t="n">
        <f>A5</f>
        <v>44592.0</v>
      </c>
      <c r="C5" s="13" t="s">
        <v>45</v>
      </c>
      <c r="D5" s="48">
        <v>-271.42857142857099</v>
      </c>
      <c r="E5" s="48" t="s">
        <v>113</v>
      </c>
      <c r="F5" s="49">
        <v>3</v>
      </c>
      <c r="G5" s="50"/>
      <c r="H5" s="48"/>
      <c r="I5" s="48"/>
      <c r="J5" s="48"/>
      <c r="K5" s="48"/>
      <c r="L5" s="50"/>
      <c r="M5" s="82"/>
      <c r="N5" s="51" t="s">
        <v>45</v>
      </c>
      <c r="O5" s="48"/>
      <c r="P5" s="48" t="n">
        <f>I7</f>
        <v>-342.81800391389385</v>
      </c>
      <c r="Q5" s="30"/>
      <c r="AE5" s="10" t="s">
        <v>115</v>
      </c>
      <c r="AF5" s="10" t="s">
        <v>115</v>
      </c>
      <c r="AG5" s="10" t="s">
        <v>116</v>
      </c>
      <c r="AH5" s="10" t="s">
        <v>116</v>
      </c>
      <c r="AI5" s="10" t="s">
        <v>115</v>
      </c>
      <c r="AJ5" s="10" t="s">
        <v>115</v>
      </c>
    </row>
    <row r="6" spans="1:36" x14ac:dyDescent="0.25">
      <c r="A6" s="22">
        <v>44592</v>
      </c>
      <c r="B6" s="22">
        <v>44592</v>
      </c>
      <c r="C6" s="13" t="s">
        <v>45</v>
      </c>
      <c r="D6" s="48">
        <v>-23.796477495107599</v>
      </c>
      <c r="E6" s="48" t="s">
        <v>113</v>
      </c>
      <c r="F6" s="49">
        <v>4</v>
      </c>
      <c r="G6" s="50"/>
      <c r="H6" s="48"/>
      <c r="I6" s="48"/>
      <c r="J6" s="48"/>
      <c r="K6" s="48"/>
      <c r="L6" s="50"/>
      <c r="M6" s="82"/>
      <c r="N6" s="48" t="s">
        <v>63</v>
      </c>
      <c r="O6" s="48" t="n">
        <f>J7</f>
        <v>342.818003913894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63</v>
      </c>
      <c r="D7" s="54">
        <v>342.81800391389402</v>
      </c>
      <c r="E7" s="54" t="s">
        <v>113</v>
      </c>
      <c r="F7" s="55">
        <v>0</v>
      </c>
      <c r="G7" s="56"/>
      <c r="H7" s="54">
        <v>0</v>
      </c>
      <c r="I7" s="54" t="n">
        <f>SUM(D4:D6)</f>
        <v>-342.81800391389385</v>
      </c>
      <c r="J7" s="54" t="n">
        <f>D7</f>
        <v>342.818003913894</v>
      </c>
      <c r="K7" s="54" t="n">
        <f>SUM(H7:J7)</f>
        <v>1.7053025658242404E-13</v>
      </c>
      <c r="L7" s="50"/>
      <c r="M7" s="82"/>
      <c r="N7" s="51" t="s">
        <v>56</v>
      </c>
      <c r="O7" s="48"/>
      <c r="P7" s="48" t="n">
        <f>-O6</f>
        <v>-342.818003913894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45</v>
      </c>
      <c r="D8" s="48">
        <v>-83.287671232876704</v>
      </c>
      <c r="E8" s="48" t="s">
        <v>113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45</v>
      </c>
      <c r="D9" s="48">
        <v>-41.643835616438402</v>
      </c>
      <c r="E9" s="48" t="s">
        <v>113</v>
      </c>
      <c r="F9" s="49">
        <v>4</v>
      </c>
      <c r="G9" s="50"/>
      <c r="H9" s="48"/>
      <c r="I9" s="48"/>
      <c r="J9" s="48"/>
      <c r="K9" s="48"/>
      <c r="L9" s="50"/>
      <c r="M9" s="82" t="s">
        <v>117</v>
      </c>
      <c r="N9" s="51" t="s">
        <v>56</v>
      </c>
      <c r="O9" s="48" t="n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63</v>
      </c>
      <c r="D10" s="48">
        <v>-342.81800391389402</v>
      </c>
      <c r="E10" s="48" t="s">
        <v>113</v>
      </c>
      <c r="F10" s="49">
        <v>0</v>
      </c>
      <c r="G10" s="50"/>
      <c r="H10" s="48"/>
      <c r="I10" s="48"/>
      <c r="J10" s="48"/>
      <c r="K10" s="48"/>
      <c r="L10" s="50"/>
      <c r="M10" s="82"/>
      <c r="N10" s="51" t="s">
        <v>45</v>
      </c>
      <c r="O10" s="48"/>
      <c r="P10" s="48" t="n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118</v>
      </c>
      <c r="D11" s="54">
        <v>1900</v>
      </c>
      <c r="E11" s="54" t="s">
        <v>119</v>
      </c>
      <c r="F11" s="55">
        <v>0</v>
      </c>
      <c r="G11" s="56"/>
      <c r="H11" s="54" t="n">
        <f>D11</f>
        <v>1900.0</v>
      </c>
      <c r="I11" s="54" t="n">
        <f>D8+D9+I7</f>
        <v>-467.74951076320895</v>
      </c>
      <c r="J11" s="54" t="n">
        <f>J7+D10</f>
        <v>0.0</v>
      </c>
      <c r="K11" s="54" t="n">
        <f>SUM(H11:J11)</f>
        <v>1432.250489236791</v>
      </c>
      <c r="L11" s="50"/>
      <c r="M11" s="82"/>
      <c r="N11" s="51" t="s">
        <v>56</v>
      </c>
      <c r="O11" s="48" t="n">
        <f>-D10</f>
        <v>342.818003913894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45</v>
      </c>
      <c r="D12" s="48">
        <v>-92.211350293542097</v>
      </c>
      <c r="E12" s="48" t="s">
        <v>113</v>
      </c>
      <c r="F12" s="49">
        <v>2</v>
      </c>
      <c r="G12" s="50"/>
      <c r="H12" s="48"/>
      <c r="I12" s="48"/>
      <c r="J12" s="48"/>
      <c r="K12" s="48"/>
      <c r="L12" s="50"/>
      <c r="M12" s="82"/>
      <c r="N12" s="48" t="s">
        <v>63</v>
      </c>
      <c r="O12" s="48"/>
      <c r="P12" s="48" t="n">
        <f>D10</f>
        <v>-342.818003913894</v>
      </c>
      <c r="Q12" s="30"/>
    </row>
    <row r="13" spans="1:36" x14ac:dyDescent="0.25">
      <c r="A13" s="52">
        <v>44651</v>
      </c>
      <c r="B13" s="52">
        <v>44651</v>
      </c>
      <c r="C13" s="53" t="s">
        <v>45</v>
      </c>
      <c r="D13" s="54">
        <v>-46.105675146770999</v>
      </c>
      <c r="E13" s="54" t="s">
        <v>113</v>
      </c>
      <c r="F13" s="55">
        <v>4</v>
      </c>
      <c r="G13" s="56"/>
      <c r="H13" s="54" t="n">
        <f>H11</f>
        <v>1900.0</v>
      </c>
      <c r="I13" s="54" t="n">
        <f>I11+D12+D13</f>
        <v>-606.066536203522</v>
      </c>
      <c r="J13" s="54" t="n">
        <f>J11</f>
        <v>0.0</v>
      </c>
      <c r="K13" s="54" t="n">
        <f>K11+D12+D13</f>
        <v>1293.9334637964778</v>
      </c>
      <c r="L13" s="50"/>
      <c r="M13" s="82"/>
      <c r="N13" s="58" t="s">
        <v>120</v>
      </c>
      <c r="O13" s="48" t="n">
        <f>H11</f>
        <v>1900.0</v>
      </c>
      <c r="P13" s="48"/>
      <c r="Q13" s="13"/>
    </row>
    <row r="14" spans="1:36" x14ac:dyDescent="0.25">
      <c r="A14" s="59">
        <v>44681</v>
      </c>
      <c r="B14" s="59" t="n">
        <f t="shared" ref="B14:C20" si="0">B4</f>
        <v>44592.0</v>
      </c>
      <c r="C14" s="60" t="str">
        <f t="shared" si="0"/>
        <v>Revenue</v>
      </c>
      <c r="D14" s="61" t="n">
        <f t="shared" ref="D14:D20" si="1">-D4</f>
        <v>47.5929549902153</v>
      </c>
      <c r="E14" s="61" t="s">
        <v>121</v>
      </c>
      <c r="F14" s="62" t="n">
        <f t="shared" ref="F14:F20" si="2">F4</f>
        <v>2.0</v>
      </c>
      <c r="H14" s="13"/>
      <c r="I14" s="13"/>
      <c r="J14" s="13"/>
      <c r="K14" s="13"/>
      <c r="M14" s="82"/>
      <c r="N14" s="63" t="s">
        <v>56</v>
      </c>
      <c r="O14" s="15"/>
      <c r="P14" s="15" t="n">
        <f>-O13</f>
        <v>-1900.0</v>
      </c>
      <c r="Q14" s="13"/>
    </row>
    <row r="15" spans="1:36" x14ac:dyDescent="0.25">
      <c r="A15" s="59">
        <v>44681</v>
      </c>
      <c r="B15" s="59" t="n">
        <f t="shared" si="0"/>
        <v>44592.0</v>
      </c>
      <c r="C15" s="60" t="str">
        <f t="shared" si="0"/>
        <v>Revenue</v>
      </c>
      <c r="D15" s="61" t="n">
        <f t="shared" si="1"/>
        <v>271.428571428571</v>
      </c>
      <c r="E15" s="61" t="s">
        <v>121</v>
      </c>
      <c r="F15" s="62" t="n">
        <f t="shared" si="2"/>
        <v>3.0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 t="n">
        <f t="shared" si="0"/>
        <v>44592.0</v>
      </c>
      <c r="C16" s="60" t="str">
        <f t="shared" si="0"/>
        <v>Revenue</v>
      </c>
      <c r="D16" s="61" t="n">
        <f t="shared" si="1"/>
        <v>23.7964774951076</v>
      </c>
      <c r="E16" s="61" t="s">
        <v>121</v>
      </c>
      <c r="F16" s="62" t="n">
        <f t="shared" si="2"/>
        <v>4.0</v>
      </c>
      <c r="H16" s="13"/>
      <c r="I16" s="13"/>
      <c r="J16" s="13"/>
      <c r="K16" s="13"/>
      <c r="M16" s="79" t="s">
        <v>122</v>
      </c>
      <c r="N16" s="51" t="s">
        <v>56</v>
      </c>
      <c r="O16" s="48" t="n">
        <f>-(D12+D13)</f>
        <v>138.3170254403131</v>
      </c>
      <c r="P16" s="13"/>
      <c r="Q16" s="13"/>
    </row>
    <row r="17" spans="1:17" x14ac:dyDescent="0.25">
      <c r="A17" s="59">
        <v>44681</v>
      </c>
      <c r="B17" s="59" t="n">
        <f t="shared" si="0"/>
        <v>44592.0</v>
      </c>
      <c r="C17" s="60" t="str">
        <f t="shared" si="0"/>
        <v>Unbilled Charge</v>
      </c>
      <c r="D17" s="61" t="n">
        <f t="shared" si="1"/>
        <v>-342.818003913894</v>
      </c>
      <c r="E17" s="61" t="s">
        <v>121</v>
      </c>
      <c r="F17" s="62" t="n">
        <f t="shared" si="2"/>
        <v>0.0</v>
      </c>
      <c r="H17" s="13"/>
      <c r="I17" s="13"/>
      <c r="J17" s="13"/>
      <c r="K17" s="13"/>
      <c r="M17" s="79"/>
      <c r="N17" s="51" t="s">
        <v>45</v>
      </c>
      <c r="O17" s="13"/>
      <c r="P17" s="48" t="n">
        <f>-O16</f>
        <v>-138.3170254403131</v>
      </c>
      <c r="Q17" s="13"/>
    </row>
    <row r="18" spans="1:17" x14ac:dyDescent="0.25">
      <c r="A18" s="59">
        <v>44681</v>
      </c>
      <c r="B18" s="59" t="n">
        <f t="shared" si="0"/>
        <v>44620.0</v>
      </c>
      <c r="C18" s="60" t="str">
        <f t="shared" si="0"/>
        <v>Revenue</v>
      </c>
      <c r="D18" s="61" t="n">
        <f t="shared" si="1"/>
        <v>83.2876712328767</v>
      </c>
      <c r="E18" s="61" t="s">
        <v>121</v>
      </c>
      <c r="F18" s="62" t="n">
        <f t="shared" si="2"/>
        <v>2.0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 t="n">
        <f t="shared" si="0"/>
        <v>44620.0</v>
      </c>
      <c r="C19" s="60" t="str">
        <f t="shared" si="0"/>
        <v>Revenue</v>
      </c>
      <c r="D19" s="61" t="n">
        <f t="shared" si="1"/>
        <v>41.6438356164384</v>
      </c>
      <c r="E19" s="61" t="s">
        <v>121</v>
      </c>
      <c r="F19" s="62" t="n">
        <f t="shared" si="2"/>
        <v>4.0</v>
      </c>
      <c r="H19" s="13"/>
      <c r="I19" s="13"/>
      <c r="J19" s="13"/>
      <c r="K19" s="13"/>
      <c r="M19" s="79" t="s">
        <v>123</v>
      </c>
      <c r="N19" s="51" t="s">
        <v>56</v>
      </c>
      <c r="O19" s="48" t="n">
        <f>-P20</f>
        <v>310.98064796694996</v>
      </c>
      <c r="P19" s="13"/>
      <c r="Q19" s="13"/>
    </row>
    <row r="20" spans="1:17" x14ac:dyDescent="0.25">
      <c r="A20" s="59">
        <v>44681</v>
      </c>
      <c r="B20" s="59" t="n">
        <f t="shared" si="0"/>
        <v>44620.0</v>
      </c>
      <c r="C20" s="60" t="str">
        <f t="shared" si="0"/>
        <v>Unbilled Charge</v>
      </c>
      <c r="D20" s="61" t="n">
        <f t="shared" si="1"/>
        <v>342.818003913894</v>
      </c>
      <c r="E20" s="61" t="s">
        <v>121</v>
      </c>
      <c r="F20" s="62" t="n">
        <f t="shared" si="2"/>
        <v>0.0</v>
      </c>
      <c r="H20" s="13"/>
      <c r="I20" s="13"/>
      <c r="J20" s="13"/>
      <c r="K20" s="13"/>
      <c r="M20" s="79"/>
      <c r="N20" s="51" t="s">
        <v>45</v>
      </c>
      <c r="O20" s="13"/>
      <c r="P20" s="48" t="n">
        <f>I25-I13</f>
        <v>-310.98064796694996</v>
      </c>
      <c r="Q20" s="13"/>
    </row>
    <row r="21" spans="1:17" x14ac:dyDescent="0.25">
      <c r="A21" s="59">
        <v>44681</v>
      </c>
      <c r="B21" s="59" t="n">
        <f>B13</f>
        <v>44651.0</v>
      </c>
      <c r="C21" s="60" t="str">
        <f>C12</f>
        <v>Revenue</v>
      </c>
      <c r="D21" s="61" t="n">
        <f>-D12</f>
        <v>92.2113502935421</v>
      </c>
      <c r="E21" s="61" t="s">
        <v>121</v>
      </c>
      <c r="F21" s="62" t="n">
        <f>F12</f>
        <v>2.0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 t="n">
        <f>B21</f>
        <v>44651.0</v>
      </c>
      <c r="C22" s="60" t="str">
        <f>C13</f>
        <v>Revenue</v>
      </c>
      <c r="D22" s="61" t="n">
        <f>-D13</f>
        <v>46.105675146771</v>
      </c>
      <c r="E22" s="61" t="s">
        <v>121</v>
      </c>
      <c r="F22" s="62" t="n">
        <f>F13</f>
        <v>4.0</v>
      </c>
      <c r="H22" s="48" t="n">
        <f>H13</f>
        <v>1900.0</v>
      </c>
      <c r="I22" s="48" t="n">
        <f>I13+D14+D15+D16+D18+D19+D21+D22</f>
        <v>4.973799150320701E-14</v>
      </c>
      <c r="J22" s="48" t="n">
        <f>D17+D20</f>
        <v>0.0</v>
      </c>
      <c r="K22" s="48" t="n">
        <f>H22</f>
        <v>1900.0</v>
      </c>
      <c r="M22" s="79" t="s">
        <v>124</v>
      </c>
      <c r="N22" s="58" t="s">
        <v>120</v>
      </c>
      <c r="O22" s="48" t="n">
        <f>D26</f>
        <v>600.0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45</v>
      </c>
      <c r="D23" s="67">
        <v>-319.634703196347</v>
      </c>
      <c r="E23" s="67" t="s">
        <v>113</v>
      </c>
      <c r="F23" s="68">
        <v>2</v>
      </c>
      <c r="H23" s="13"/>
      <c r="I23" s="13"/>
      <c r="J23" s="13"/>
      <c r="K23" s="13"/>
      <c r="M23" s="79"/>
      <c r="N23" s="63" t="s">
        <v>56</v>
      </c>
      <c r="O23" s="13"/>
      <c r="P23" s="48" t="n">
        <f>-O22</f>
        <v>-600.0</v>
      </c>
      <c r="Q23" s="13"/>
    </row>
    <row r="24" spans="1:17" x14ac:dyDescent="0.25">
      <c r="A24" s="65">
        <v>44681</v>
      </c>
      <c r="B24" s="65">
        <v>44681</v>
      </c>
      <c r="C24" s="66" t="s">
        <v>45</v>
      </c>
      <c r="D24" s="67">
        <v>-277.777777777778</v>
      </c>
      <c r="E24" s="67" t="s">
        <v>113</v>
      </c>
      <c r="F24" s="68">
        <v>3</v>
      </c>
      <c r="H24" s="13"/>
      <c r="I24" s="13"/>
      <c r="J24" s="13"/>
      <c r="K24" s="13"/>
      <c r="M24" s="79"/>
      <c r="N24" s="51" t="s">
        <v>56</v>
      </c>
      <c r="O24" s="48" t="n">
        <f>-P25</f>
        <v>188.7366818873668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45</v>
      </c>
      <c r="D25" s="67">
        <v>-319.634703196347</v>
      </c>
      <c r="E25" s="67" t="s">
        <v>113</v>
      </c>
      <c r="F25" s="68">
        <v>4</v>
      </c>
      <c r="G25" s="69"/>
      <c r="H25" s="54" t="n">
        <f>H13</f>
        <v>1900.0</v>
      </c>
      <c r="I25" s="54" t="n">
        <f>D23+D24+D25</f>
        <v>-917.047184170472</v>
      </c>
      <c r="J25" s="54" t="n">
        <f>J13</f>
        <v>0.0</v>
      </c>
      <c r="K25" s="54" t="n">
        <f>K22+D23+D24+D25</f>
        <v>982.952815829528</v>
      </c>
      <c r="M25" s="79"/>
      <c r="N25" s="51" t="s">
        <v>45</v>
      </c>
      <c r="O25" s="13"/>
      <c r="P25" s="48" t="n">
        <f>D27+D28</f>
        <v>-188.7366818873668</v>
      </c>
      <c r="Q25" s="13"/>
    </row>
    <row r="26" spans="1:17" x14ac:dyDescent="0.25">
      <c r="A26" s="22">
        <v>44712</v>
      </c>
      <c r="B26" s="22">
        <v>44712</v>
      </c>
      <c r="C26" s="13" t="s">
        <v>118</v>
      </c>
      <c r="D26" s="58">
        <v>600</v>
      </c>
      <c r="E26" s="58" t="s">
        <v>119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45</v>
      </c>
      <c r="D27" s="58">
        <v>-94.368340943683407</v>
      </c>
      <c r="E27" s="48" t="s">
        <v>113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45</v>
      </c>
      <c r="D28" s="54">
        <v>-94.368340943683407</v>
      </c>
      <c r="E28" s="54" t="s">
        <v>113</v>
      </c>
      <c r="F28" s="55">
        <v>4</v>
      </c>
      <c r="G28" s="69"/>
      <c r="H28" s="54" t="n">
        <f>H25+D26</f>
        <v>2500.0</v>
      </c>
      <c r="I28" s="54" t="n">
        <f>I25+D27+D28</f>
        <v>-1105.7838660578388</v>
      </c>
      <c r="J28" s="53"/>
      <c r="K28" s="54" t="n">
        <f>K25+D26+D27+D28</f>
        <v>1394.216133942161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2025-11-17T20:03:31Z</dcterms:modified>
  <cp:revision>9</cp:revision>
</cp:coreProperties>
</file>