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<sst xmlns="http://schemas.openxmlformats.org/spreadsheetml/2006/main" count="243" uniqueCount="87">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</sst>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44596.229166666664</v>
      </c>
      <c r="B2" t="n" s="62">
        <v>44596.229166666664</v>
      </c>
      <c r="C2" t="s">
        <v>59</v>
      </c>
      <c r="D2" t="s">
        <v>86</v>
      </c>
      <c r="E2" t="n" s="63">
        <v>10.0</v>
      </c>
      <c r="F2" t="n" s="63">
        <v>99945.5556</v>
      </c>
      <c r="G2" t="n" s="63">
        <v>27.7627</v>
      </c>
      <c r="H2" t="n" s="63">
        <v>83.3183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44596.229166666664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44596.229166666664</v>
      </c>
      <c r="C8" s="30" t="n">
        <f>INT_ACC!F2</f>
        <v>99945.5556</v>
      </c>
      <c r="D8" s="30" t="n">
        <f>INT_ACC!G2</f>
        <v>27.7627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99945.5556</v>
      </c>
      <c r="J8" s="33" t="n">
        <f>IFERROR(IF(B8="","",(I8*$B$2)/360),0)</f>
        <v>27.762654333333334</v>
      </c>
      <c r="K8" s="31" t="n">
        <f>IFERROR(IF(B8="","",D8-G8+J8),0)</f>
        <v>55.52535433333333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99945.5556</v>
      </c>
      <c r="J9" s="39" t="n">
        <f>IF(K8="",0,K8)</f>
        <v>55.52535433333333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44596.229166666664</v>
      </c>
      <c r="C14" s="43" t="n">
        <f>VALUE(INT_ACC!F2)</f>
        <v>99945.5556</v>
      </c>
      <c r="D14" s="43" t="n">
        <f>VALUE(INT_ACC!G2)</f>
        <v>27.7627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99945.5556</v>
      </c>
      <c r="J14" s="45" t="n">
        <f>IF(B14="",0,(I14*$B$2)/360)</f>
        <v>27.762654333333334</v>
      </c>
      <c r="K14" s="46" t="n">
        <f>D14+J14-G14</f>
        <v>55.52535433333333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27.762654333333334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44596.229166666664</v>
      </c>
      <c r="B29" s="6" t="n">
        <f>A29</f>
        <v>44596.229166666664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27.7627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01/31/2022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44596.229166666664</v>
      </c>
      <c r="B2" s="59" t="n">
        <f>CALCULATION!B29</f>
        <v>44596.229166666664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27.7627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