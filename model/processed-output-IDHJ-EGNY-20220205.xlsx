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C:\Users\arahmed\Downloads\TestSBO_Output\TestSBO_Output\"/>
    </mc:Choice>
  </mc:AlternateContent>
  <xr:revisionPtr revIDLastSave="0" documentId="13_ncr:1_{C7029F2B-38CE-4211-AF36-A2D9127B9D4D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7" l="1"/>
  <c r="B12" i="7"/>
  <c r="B20" i="6"/>
  <c r="A35" i="6" s="1"/>
  <c r="D14" i="6"/>
  <c r="C14" i="6"/>
  <c r="B14" i="6"/>
  <c r="E14" i="6" s="1"/>
  <c r="F8" i="6"/>
  <c r="D8" i="6"/>
  <c r="C8" i="6"/>
  <c r="B4" i="6"/>
  <c r="B5" i="6" s="1"/>
  <c r="E3" i="6"/>
  <c r="B3" i="6"/>
  <c r="E2" i="6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B29" i="6" s="1"/>
  <c r="B2" i="9" s="1"/>
  <c r="B35" i="6"/>
  <c r="B8" i="9" s="1"/>
  <c r="D35" i="6"/>
  <c r="D8" i="9" s="1"/>
  <c r="A8" i="9"/>
  <c r="F35" i="6"/>
  <c r="F8" i="9" s="1"/>
  <c r="E35" i="6"/>
  <c r="E8" i="9" s="1"/>
  <c r="C35" i="6"/>
  <c r="C8" i="9" s="1"/>
  <c r="F29" i="6"/>
  <c r="F2" i="9" s="1"/>
  <c r="D29" i="6"/>
  <c r="D2" i="9" s="1"/>
  <c r="C29" i="6"/>
  <c r="C2" i="9" s="1"/>
  <c r="E5" i="1"/>
  <c r="H6" i="1"/>
  <c r="I5" i="1"/>
  <c r="B8" i="6"/>
  <c r="B2" i="6"/>
  <c r="B25" i="6"/>
  <c r="A34" i="6" s="1"/>
  <c r="A2" i="9" l="1"/>
  <c r="E8" i="6"/>
  <c r="G8" i="6"/>
  <c r="G9" i="6" s="1"/>
  <c r="B34" i="6"/>
  <c r="B7" i="9" s="1"/>
  <c r="E34" i="6"/>
  <c r="E7" i="9" s="1"/>
  <c r="F34" i="6"/>
  <c r="F7" i="9" s="1"/>
  <c r="D34" i="6"/>
  <c r="D7" i="9" s="1"/>
  <c r="C34" i="6"/>
  <c r="C7" i="9" s="1"/>
  <c r="A7" i="9"/>
  <c r="H7" i="1"/>
  <c r="E6" i="1"/>
  <c r="I6" i="1" s="1"/>
  <c r="I7" i="1" s="1"/>
  <c r="H8" i="6" l="1"/>
  <c r="E8" i="1"/>
  <c r="I8" i="1"/>
  <c r="G14" i="6"/>
  <c r="B19" i="6"/>
  <c r="A31" i="6" s="1"/>
  <c r="H9" i="1"/>
  <c r="H10" i="1" s="1"/>
  <c r="H8" i="1"/>
  <c r="H9" i="6" l="1"/>
  <c r="I8" i="6"/>
  <c r="E10" i="1"/>
  <c r="E12" i="1"/>
  <c r="H11" i="1"/>
  <c r="H12" i="1" s="1"/>
  <c r="E11" i="1"/>
  <c r="B31" i="6"/>
  <c r="B4" i="9" s="1"/>
  <c r="E31" i="6"/>
  <c r="E4" i="9" s="1"/>
  <c r="D31" i="6"/>
  <c r="D4" i="9" s="1"/>
  <c r="A4" i="9"/>
  <c r="C31" i="6"/>
  <c r="C4" i="9" s="1"/>
  <c r="F31" i="6"/>
  <c r="F4" i="9" s="1"/>
  <c r="E9" i="1"/>
  <c r="I9" i="1" s="1"/>
  <c r="I9" i="6" l="1"/>
  <c r="J8" i="6"/>
  <c r="K8" i="6" s="1"/>
  <c r="J9" i="6" s="1"/>
  <c r="H14" i="6"/>
  <c r="I14" i="6" s="1"/>
  <c r="B23" i="6"/>
  <c r="A32" i="6" s="1"/>
  <c r="I10" i="1"/>
  <c r="I11" i="1" s="1"/>
  <c r="I12" i="1" s="1"/>
  <c r="A33" i="6" l="1"/>
  <c r="J14" i="6"/>
  <c r="E32" i="6"/>
  <c r="E5" i="9" s="1"/>
  <c r="A5" i="9"/>
  <c r="B32" i="6"/>
  <c r="B5" i="9" s="1"/>
  <c r="F32" i="6"/>
  <c r="F5" i="9" s="1"/>
  <c r="D32" i="6"/>
  <c r="D5" i="9" s="1"/>
  <c r="C32" i="6"/>
  <c r="C5" i="9" s="1"/>
  <c r="B17" i="6" l="1"/>
  <c r="E29" i="6" s="1"/>
  <c r="E2" i="9" s="1"/>
  <c r="K14" i="6"/>
  <c r="A30" i="6" s="1"/>
  <c r="B33" i="6"/>
  <c r="B6" i="9" s="1"/>
  <c r="F33" i="6"/>
  <c r="F6" i="9" s="1"/>
  <c r="E33" i="6"/>
  <c r="E6" i="9" s="1"/>
  <c r="C33" i="6"/>
  <c r="C6" i="9" s="1"/>
  <c r="A6" i="9"/>
  <c r="D33" i="6"/>
  <c r="D6" i="9" s="1"/>
  <c r="C30" i="6" l="1"/>
  <c r="C3" i="9" s="1"/>
  <c r="B30" i="6"/>
  <c r="B3" i="9" s="1"/>
  <c r="A3" i="9"/>
  <c r="D30" i="6"/>
  <c r="D3" i="9" s="1"/>
  <c r="F30" i="6"/>
  <c r="F3" i="9" s="1"/>
  <c r="E30" i="6"/>
  <c r="E3" i="9" s="1"/>
</calcChain>
</file>

<file path=xl/sharedStrings.xml><?xml version="1.0" encoding="utf-8"?>
<sst xmlns="http://schemas.openxmlformats.org/spreadsheetml/2006/main" count="245" uniqueCount="87">
  <si>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</si>
  <si>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</si>
  <si>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</si>
  <si>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</si>
  <si>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</si>
  <si>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</si>
  <si>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</si>
  <si>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</si>
  <si>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</si>
  <si>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</si>
  <si>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</si>
  <si>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</si>
  <si>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</si>
  <si>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</si>
  <si>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</si>
  <si>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</si>
  <si>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</si>
  <si>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</si>
  <si>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</si>
  <si>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</si>
  <si>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</si>
  <si>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</si>
  <si>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</si>
  <si>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</si>
  <si>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</si>
  <si>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</si>
  <si>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</si>
  <si>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</si>
  <si>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</si>
  <si>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</si>
  <si>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PAYMENT CALC</t>
  </si>
  <si>
    <t>Interest Rate</t>
  </si>
  <si>
    <t>Purchased UPB</t>
  </si>
  <si>
    <t>Purchased Interest</t>
  </si>
  <si>
    <t>ReplayDate</t>
  </si>
  <si>
    <t>S.No</t>
  </si>
  <si>
    <t>Effective Date</t>
  </si>
  <si>
    <t>Beg UPB</t>
  </si>
  <si>
    <t>Beg AIR</t>
  </si>
  <si>
    <t>Days</t>
  </si>
  <si>
    <t>Final Remit</t>
  </si>
  <si>
    <t>Interest Paid</t>
  </si>
  <si>
    <t>Principal Paid</t>
  </si>
  <si>
    <t>End UPB</t>
  </si>
  <si>
    <t>Accrual</t>
  </si>
  <si>
    <t>End AIR</t>
  </si>
  <si>
    <t>ACCRUAL CALC</t>
  </si>
  <si>
    <t>AIR Transactions</t>
  </si>
  <si>
    <t>Interest Accrual</t>
  </si>
  <si>
    <t>Interest Adjustment</t>
  </si>
  <si>
    <t>Interest Payment</t>
  </si>
  <si>
    <t>UPB Transactions</t>
  </si>
  <si>
    <t>Principal Payment</t>
  </si>
  <si>
    <t>Principal Adjustment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</si>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</sst>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00_);[Red]\(0.0000\)"/>
    <numFmt numFmtId="166" formatCode="#,##0.0000_);[Red]\(#,##0.0000\)"/>
    <numFmt numFmtId="167" formatCode="0.0000"/>
    <numFmt numFmtId="168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0" fontId="1" fillId="0" borderId="3" xfId="0" applyFont="1" applyBorder="1"/>
    <xf numFmtId="0" fontId="0" fillId="0" borderId="3" xfId="0" applyBorder="1" applyAlignment="1">
      <alignment horizontal="center" vertical="top"/>
    </xf>
    <xf numFmtId="0" fontId="1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167" fontId="0" fillId="0" borderId="0" xfId="0" applyNumberFormat="1"/>
    <xf numFmtId="0" fontId="0" fillId="0" borderId="0" xfId="0" applyBorder="1"/>
    <xf numFmtId="14" fontId="0" fillId="0" borderId="0" xfId="0" applyNumberFormat="1" applyBorder="1"/>
    <xf numFmtId="167" fontId="0" fillId="0" borderId="0" xfId="0" applyNumberFormat="1" applyBorder="1" applyAlignment="1">
      <alignment vertical="center" wrapText="1"/>
    </xf>
    <xf numFmtId="167" fontId="0" fillId="0" borderId="0" xfId="0" applyNumberFormat="1" applyBorder="1"/>
    <xf numFmtId="167" fontId="1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2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/>
    </xf>
    <xf numFmtId="0" fontId="0" fillId="0" borderId="3" xfId="0" applyFont="1" applyBorder="1"/>
    <xf numFmtId="166" fontId="0" fillId="0" borderId="3" xfId="0" applyNumberForma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2" xfId="0" applyFont="1" applyBorder="1"/>
    <xf numFmtId="167" fontId="0" fillId="0" borderId="3" xfId="0" applyNumberForma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12"/>
  <sheetViews>
    <sheetView zoomScaleNormal="100" workbookViewId="0">
      <selection activeCell="C7" sqref="C7"/>
    </sheetView>
  </sheetViews>
  <sheetFormatPr defaultColWidth="8.7109375" defaultRowHeight="15" customHeight="1" x14ac:dyDescent="0.25"/>
  <cols>
    <col min="1" max="2" customWidth="true" width="9.7109375"/>
    <col min="3" max="3" customWidth="true" width="11.42578125"/>
    <col min="4" max="4" customWidth="true" width="8.0"/>
    <col min="5" max="5" customWidth="true" width="10.28515625"/>
    <col min="6" max="6" customWidth="true" width="8.5703125"/>
    <col min="8" max="8" customWidth="true" width="10.85546875"/>
    <col min="9" max="9" customWidth="true" width="9.28515625"/>
    <col min="12" max="12" customWidth="true" width="9.85546875"/>
    <col min="13" max="13" customWidth="true" width="19.42578125"/>
    <col min="14" max="14" customWidth="true" width="12.0"/>
  </cols>
  <sheetData>
    <row r="1" spans="1:18" x14ac:dyDescent="0.25">
      <c r="A1" s="3" t="s">
        <v>0</v>
      </c>
      <c r="B1" s="3"/>
      <c r="C1" s="3"/>
      <c r="D1" s="3"/>
      <c r="E1" s="3"/>
      <c r="F1" s="3"/>
      <c r="H1" s="3" t="s">
        <v>1</v>
      </c>
      <c r="I1" s="3"/>
      <c r="M1" s="4" t="s">
        <v>2</v>
      </c>
      <c r="N1" s="4" t="n">
        <f>P1/1200</f>
        <v>0.008333333333333333</v>
      </c>
      <c r="P1" s="0">
        <v>10</v>
      </c>
      <c r="Q1" s="0" t="n">
        <f>P1/100</f>
        <v>0.1</v>
      </c>
      <c r="R1" s="0" t="n">
        <f>Q1/360</f>
        <v>2.777777777777778E-4</v>
      </c>
    </row>
    <row r="2" spans="1:1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9</v>
      </c>
      <c r="I2" s="5" t="s">
        <v>10</v>
      </c>
      <c r="M2" s="4" t="s">
        <v>11</v>
      </c>
      <c r="N2" s="4" t="n">
        <f>R1</f>
        <v>2.777777777777778E-4</v>
      </c>
    </row>
    <row r="3" spans="1:18" x14ac:dyDescent="0.25">
      <c r="A3" s="6">
        <v>44592</v>
      </c>
      <c r="B3" s="6" t="n">
        <f>A3</f>
        <v>44592.0</v>
      </c>
      <c r="C3" s="4" t="s">
        <v>12</v>
      </c>
      <c r="D3" s="4" t="s">
        <v>9</v>
      </c>
      <c r="E3" s="7">
        <v>100000</v>
      </c>
      <c r="F3" s="4" t="s">
        <v>13</v>
      </c>
      <c r="H3" s="8" t="n">
        <f>E3</f>
        <v>100000.0</v>
      </c>
      <c r="I3" s="8">
        <v>0</v>
      </c>
    </row>
    <row r="4" spans="1:18" x14ac:dyDescent="0.25">
      <c r="A4" s="6">
        <v>44592</v>
      </c>
      <c r="B4" s="6" t="n">
        <f>A4</f>
        <v>44592.0</v>
      </c>
      <c r="C4" s="4" t="s">
        <v>12</v>
      </c>
      <c r="D4" s="4" t="s">
        <v>14</v>
      </c>
      <c r="E4" s="7">
        <v>100</v>
      </c>
      <c r="F4" s="4" t="s">
        <v>13</v>
      </c>
      <c r="H4" s="8" t="n">
        <f>E3</f>
        <v>100000.0</v>
      </c>
      <c r="I4" s="8" t="n">
        <f>E4</f>
        <v>100.0</v>
      </c>
      <c r="M4" s="4" t="s">
        <v>2</v>
      </c>
      <c r="N4" s="4" t="n">
        <f>P4/1200</f>
        <v>0.0125</v>
      </c>
      <c r="P4" s="0">
        <v>15</v>
      </c>
      <c r="Q4" s="0" t="n">
        <f>P4/100</f>
        <v>0.15</v>
      </c>
      <c r="R4" s="0" t="n">
        <f>Q4/360</f>
        <v>4.166666666666667E-4</v>
      </c>
    </row>
    <row r="5" spans="1:18" x14ac:dyDescent="0.25">
      <c r="A5" s="6">
        <v>44593</v>
      </c>
      <c r="B5" s="6">
        <v>44593</v>
      </c>
      <c r="C5" s="4" t="s">
        <v>15</v>
      </c>
      <c r="D5" s="4" t="s">
        <v>14</v>
      </c>
      <c r="E5" s="9" t="n">
        <f>H5*$N$2</f>
        <v>27.7777777777778</v>
      </c>
      <c r="F5" s="4" t="s">
        <v>13</v>
      </c>
      <c r="G5" s="10"/>
      <c r="H5" s="8" t="n">
        <f>H4</f>
        <v>100000.0</v>
      </c>
      <c r="I5" s="8" t="n">
        <f>I4+E5</f>
        <v>127.7777777777778</v>
      </c>
      <c r="M5" s="4" t="s">
        <v>11</v>
      </c>
      <c r="N5" s="4" t="n">
        <f>R4</f>
        <v>4.166666666666667E-4</v>
      </c>
    </row>
    <row r="6" spans="1:18" x14ac:dyDescent="0.25">
      <c r="A6" s="6">
        <v>44594</v>
      </c>
      <c r="B6" s="6">
        <v>44594</v>
      </c>
      <c r="C6" s="4" t="s">
        <v>15</v>
      </c>
      <c r="D6" s="4" t="s">
        <v>14</v>
      </c>
      <c r="E6" s="7" t="n">
        <f>H6*$N$2</f>
        <v>27.7777777777778</v>
      </c>
      <c r="F6" s="4" t="s">
        <v>13</v>
      </c>
      <c r="G6" s="10"/>
      <c r="H6" s="8" t="n">
        <f>H5</f>
        <v>100000.0</v>
      </c>
      <c r="I6" s="11" t="n">
        <f>I5+E6</f>
        <v>155.5555555555556</v>
      </c>
    </row>
    <row r="7" spans="1:18" x14ac:dyDescent="0.25">
      <c r="A7" s="6">
        <v>44595</v>
      </c>
      <c r="B7" s="6">
        <v>44595</v>
      </c>
      <c r="C7" s="4" t="s">
        <v>16</v>
      </c>
      <c r="D7" s="4"/>
      <c r="E7" s="7">
        <v>210</v>
      </c>
      <c r="F7" s="4" t="s">
        <v>13</v>
      </c>
      <c r="G7" s="10"/>
      <c r="H7" s="8" t="n">
        <f>H6</f>
        <v>100000.0</v>
      </c>
      <c r="I7" s="12" t="n">
        <f>I6</f>
        <v>155.5555555555556</v>
      </c>
      <c r="N7" s="8"/>
    </row>
    <row r="8" spans="1:18" x14ac:dyDescent="0.25">
      <c r="A8" s="6">
        <v>44595</v>
      </c>
      <c r="B8" s="6">
        <v>44595</v>
      </c>
      <c r="C8" s="4" t="s">
        <v>17</v>
      </c>
      <c r="D8" s="4" t="s">
        <v>9</v>
      </c>
      <c r="E8" s="7" t="n">
        <f>-(E7-I7)</f>
        <v>-54.4444444444444</v>
      </c>
      <c r="F8" s="4" t="s">
        <v>13</v>
      </c>
      <c r="H8" s="8" t="n">
        <f>H7+E8</f>
        <v>99945.55555555556</v>
      </c>
      <c r="I8" s="8" t="n">
        <f>I7</f>
        <v>155.5555555555556</v>
      </c>
      <c r="J8" s="13"/>
    </row>
    <row r="9" spans="1:18" x14ac:dyDescent="0.25">
      <c r="A9" s="6">
        <v>44595</v>
      </c>
      <c r="B9" s="6">
        <v>44595</v>
      </c>
      <c r="C9" s="4" t="s">
        <v>17</v>
      </c>
      <c r="D9" s="4" t="s">
        <v>14</v>
      </c>
      <c r="E9" s="7" t="n">
        <f>-(I8)</f>
        <v>-155.5555555555556</v>
      </c>
      <c r="F9" s="4" t="s">
        <v>13</v>
      </c>
      <c r="G9" s="10"/>
      <c r="H9" s="8" t="n">
        <f>H7+E8</f>
        <v>99945.55555555556</v>
      </c>
      <c r="I9" s="8" t="n">
        <f>I8+E9</f>
        <v>0.0</v>
      </c>
    </row>
    <row r="10" spans="1:18" x14ac:dyDescent="0.25">
      <c r="A10" s="6">
        <v>44595</v>
      </c>
      <c r="B10" s="6">
        <v>44595</v>
      </c>
      <c r="C10" s="4" t="s">
        <v>15</v>
      </c>
      <c r="D10" s="4" t="s">
        <v>14</v>
      </c>
      <c r="E10" s="9" t="n">
        <f>H10*$N$2</f>
        <v>27.76265432098769</v>
      </c>
      <c r="F10" s="4" t="s">
        <v>13</v>
      </c>
      <c r="G10" s="10"/>
      <c r="H10" s="8" t="n">
        <f>H9</f>
        <v>99945.55555555556</v>
      </c>
      <c r="I10" s="8" t="n">
        <f>E10+I9</f>
        <v>27.76265432098769</v>
      </c>
    </row>
    <row r="11" spans="1:18" x14ac:dyDescent="0.25">
      <c r="A11" s="6">
        <v>44596</v>
      </c>
      <c r="B11" s="6">
        <v>44596</v>
      </c>
      <c r="C11" s="4" t="s">
        <v>15</v>
      </c>
      <c r="D11" s="4" t="s">
        <v>14</v>
      </c>
      <c r="E11" s="9" t="n">
        <f>ROUND(H10*N2,4)</f>
        <v>27.7627</v>
      </c>
      <c r="F11" s="4" t="s">
        <v>13</v>
      </c>
      <c r="G11" s="10"/>
      <c r="H11" s="8" t="n">
        <f>H10</f>
        <v>99945.55555555556</v>
      </c>
      <c r="I11" s="8" t="n">
        <f>I10+E11</f>
        <v>55.52535432098769</v>
      </c>
    </row>
    <row r="12" spans="1:18" x14ac:dyDescent="0.25">
      <c r="A12" s="6">
        <v>44597</v>
      </c>
      <c r="B12" s="6">
        <v>44597</v>
      </c>
      <c r="C12" s="4" t="s">
        <v>15</v>
      </c>
      <c r="D12" s="4" t="s">
        <v>14</v>
      </c>
      <c r="E12" s="9" t="n">
        <f>H10*$N$5</f>
        <v>41.64398148148153</v>
      </c>
      <c r="F12" s="4" t="s">
        <v>13</v>
      </c>
      <c r="G12" s="10"/>
      <c r="H12" s="8" t="n">
        <f>H11</f>
        <v>99945.55555555556</v>
      </c>
      <c r="I12" s="8" t="n">
        <f>I11+E12</f>
        <v>97.16933580246922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7.140625"/>
    <col min="6" max="6" customWidth="true" width="53.710937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22</v>
      </c>
      <c r="F1" s="17" t="s">
        <v>23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13"/>
  <sheetViews>
    <sheetView zoomScaleNormal="100" workbookViewId="0">
      <selection activeCell="A2" sqref="A2:E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0.57031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24</v>
      </c>
    </row>
    <row r="2" spans="1:6" x14ac:dyDescent="0.25">
      <c r="A2" s="18"/>
      <c r="B2" s="18"/>
      <c r="C2" s="19"/>
      <c r="E2" s="20"/>
    </row>
    <row r="3" spans="1:6" x14ac:dyDescent="0.25">
      <c r="A3" s="21"/>
      <c r="B3" s="21"/>
      <c r="C3" s="4"/>
      <c r="D3" s="4"/>
      <c r="E3" s="20"/>
      <c r="F3" s="18"/>
    </row>
    <row r="4" spans="1:6" x14ac:dyDescent="0.25">
      <c r="A4" s="21"/>
      <c r="B4" s="21"/>
      <c r="C4" s="4"/>
      <c r="D4" s="4"/>
      <c r="E4" s="20"/>
      <c r="F4" s="18"/>
    </row>
    <row r="5" spans="1:6" x14ac:dyDescent="0.25">
      <c r="A5" s="21"/>
      <c r="B5" s="21"/>
      <c r="C5" s="4"/>
      <c r="D5" s="4"/>
      <c r="E5" s="20"/>
      <c r="F5" s="18"/>
    </row>
    <row r="6" spans="1:6" x14ac:dyDescent="0.25">
      <c r="A6" s="4"/>
      <c r="B6" s="4"/>
      <c r="C6" s="4"/>
      <c r="D6" s="4"/>
      <c r="E6" s="4"/>
    </row>
    <row r="7" spans="1:6" x14ac:dyDescent="0.25">
      <c r="A7" s="4"/>
      <c r="B7" s="4"/>
      <c r="C7" s="4"/>
      <c r="D7" s="4"/>
      <c r="E7" s="4"/>
    </row>
    <row r="8" spans="1:6" x14ac:dyDescent="0.25">
      <c r="A8" s="4"/>
      <c r="B8" s="4"/>
      <c r="C8" s="4"/>
      <c r="D8" s="4"/>
      <c r="E8" s="4"/>
    </row>
    <row r="9" spans="1:6" x14ac:dyDescent="0.25">
      <c r="A9" s="4"/>
      <c r="B9" s="4"/>
      <c r="C9" s="4"/>
      <c r="D9" s="4"/>
      <c r="E9" s="4"/>
    </row>
    <row r="10" spans="1:6" x14ac:dyDescent="0.25">
      <c r="A10" s="4"/>
      <c r="B10" s="4"/>
      <c r="C10" s="4"/>
      <c r="D10" s="4"/>
      <c r="E10" s="4"/>
    </row>
    <row r="11" spans="1:6" x14ac:dyDescent="0.25">
      <c r="A11" s="4"/>
      <c r="B11" s="4"/>
      <c r="C11" s="4"/>
      <c r="D11" s="4"/>
      <c r="E11" s="4"/>
    </row>
    <row r="12" spans="1:6" x14ac:dyDescent="0.25">
      <c r="A12" s="4"/>
      <c r="B12" s="4"/>
      <c r="C12" s="4"/>
      <c r="D12" s="4"/>
      <c r="E12" s="4"/>
    </row>
    <row r="13" spans="1:6" x14ac:dyDescent="0.25">
      <c r="A13" s="4"/>
      <c r="B13" s="4"/>
      <c r="C13" s="4"/>
      <c r="D13" s="4"/>
      <c r="E13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tabSelected="1" zoomScaleNormal="100" workbookViewId="0"/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61.0"/>
  </cols>
  <sheetData>
    <row r="1" spans="1:8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26</v>
      </c>
      <c r="G1" s="22" t="s">
        <v>27</v>
      </c>
      <c r="H1" s="22" t="s">
        <v>28</v>
      </c>
    </row>
    <row r="2">
      <c r="A2" t="n" s="62">
        <v>44597.229166666664</v>
      </c>
      <c r="B2" t="n" s="62">
        <v>44597.229166666664</v>
      </c>
      <c r="C2" t="s">
        <v>59</v>
      </c>
      <c r="D2" t="s">
        <v>86</v>
      </c>
      <c r="E2" t="n" s="63">
        <v>15.0</v>
      </c>
      <c r="F2" t="n" s="63">
        <v>99945.5556</v>
      </c>
      <c r="G2" t="n" s="63">
        <v>55.5254</v>
      </c>
      <c r="H2" t="n" s="63">
        <v>111.081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6.0"/>
    <col min="6" max="6" customWidth="true" width="33.1406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29</v>
      </c>
    </row>
    <row r="2">
      <c r="A2" t="n" s="62">
        <v>44597.229166666664</v>
      </c>
      <c r="B2" t="n" s="62">
        <v>44597.229166666664</v>
      </c>
      <c r="C2" t="s">
        <v>59</v>
      </c>
      <c r="D2" t="s">
        <v>86</v>
      </c>
      <c r="E2" t="n" s="63">
        <v>15.0</v>
      </c>
      <c r="F2" t="n" s="63">
        <v>10.0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zoomScaleNormal="100" workbookViewId="0">
      <selection activeCell="D20" sqref="D20"/>
    </sheetView>
  </sheetViews>
  <sheetFormatPr defaultColWidth="8.7109375" defaultRowHeight="15" customHeight="1" x14ac:dyDescent="0.25"/>
  <cols>
    <col min="1" max="1" customWidth="true" width="39.7109375"/>
    <col min="2" max="2" customWidth="true" width="36.140625"/>
    <col min="3" max="3" customWidth="true" width="12.85546875"/>
    <col min="4" max="4" customWidth="true" width="24.85546875"/>
    <col min="5" max="5" customWidth="true" width="15.7109375"/>
    <col min="6" max="6" customWidth="true" width="23.42578125"/>
    <col min="7" max="7" customWidth="true" width="14.85546875"/>
    <col min="8" max="8" customWidth="true" width="17.28515625"/>
    <col min="9" max="9" customWidth="true" width="21.42578125"/>
    <col min="10" max="10" customWidth="true" width="27.42578125"/>
    <col min="11" max="11" customWidth="true" width="13.0"/>
    <col min="13" max="13" customWidth="true" width="20.140625"/>
  </cols>
  <sheetData>
    <row r="1" spans="1:16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25">
      <c r="A2" s="23" t="s">
        <v>31</v>
      </c>
      <c r="B2" s="24" t="n">
        <f>IF('RC'!A2=CALCULATION!B4,'RC'!E2/100,INT_ACC!E2/100)</f>
        <v>0.15</v>
      </c>
      <c r="D2" s="4" t="s">
        <v>32</v>
      </c>
      <c r="E2" s="4" t="n">
        <f>IF(ORIG!E2="",0,ORIG!E2)</f>
        <v>0.0</v>
      </c>
    </row>
    <row r="3" spans="1:16" x14ac:dyDescent="0.25">
      <c r="A3" s="25" t="s">
        <v>20</v>
      </c>
      <c r="B3" s="26" t="str">
        <f>INT_ACC!C2</f>
        <v>IDHJ-EGNY</v>
      </c>
      <c r="D3" s="4" t="s">
        <v>33</v>
      </c>
      <c r="E3" s="4" t="n">
        <f>IF(ORIG!F2="",0,ORIG!F2)</f>
        <v>0.0</v>
      </c>
    </row>
    <row r="4" spans="1:16" x14ac:dyDescent="0.25">
      <c r="A4" s="25" t="s">
        <v>18</v>
      </c>
      <c r="B4" s="27" t="n">
        <f>IF(INT_ACC!A2="","",(INT_ACC!A2))</f>
        <v>44597.229166666664</v>
      </c>
      <c r="D4" s="18"/>
    </row>
    <row r="5" spans="1:16" x14ac:dyDescent="0.25">
      <c r="A5" s="25" t="s">
        <v>34</v>
      </c>
      <c r="B5" s="27" t="str">
        <f>IF(OR(MIN(PMT!$B$2:$B$13)=B4,MIN(PMT!$B$2:$B$13)=0),"",MIN(PMT!$B$2:$B$13))</f>
        <v/>
      </c>
      <c r="D5" s="18"/>
    </row>
    <row r="6" spans="1:16" x14ac:dyDescent="0.25">
      <c r="D6" s="18"/>
    </row>
    <row r="7" spans="1:16" x14ac:dyDescent="0.25">
      <c r="A7" s="28" t="s">
        <v>35</v>
      </c>
      <c r="B7" s="28" t="s">
        <v>36</v>
      </c>
      <c r="C7" s="28" t="s">
        <v>37</v>
      </c>
      <c r="D7" s="28" t="s">
        <v>38</v>
      </c>
      <c r="E7" s="28" t="s">
        <v>39</v>
      </c>
      <c r="F7" s="28" t="s">
        <v>40</v>
      </c>
      <c r="G7" s="28" t="s">
        <v>41</v>
      </c>
      <c r="H7" s="28" t="s">
        <v>42</v>
      </c>
      <c r="I7" s="28" t="s">
        <v>43</v>
      </c>
      <c r="J7" s="28" t="s">
        <v>44</v>
      </c>
      <c r="K7" s="28" t="s">
        <v>45</v>
      </c>
    </row>
    <row r="8" spans="1:16" ht="15.75" thickBot="1" x14ac:dyDescent="0.3">
      <c r="A8" s="4">
        <v>1</v>
      </c>
      <c r="B8" s="29" t="n">
        <f>B4</f>
        <v>44597.229166666664</v>
      </c>
      <c r="C8" s="30" t="n">
        <f>INT_ACC!F2</f>
        <v>99945.5556</v>
      </c>
      <c r="D8" s="30" t="n">
        <f>INT_ACC!G2</f>
        <v>55.5254</v>
      </c>
      <c r="E8" s="30" t="n">
        <f>IF(B8="","",IF(B9="",0,(B9-B8)-1))</f>
        <v>0.0</v>
      </c>
      <c r="F8" s="30" t="n">
        <f>PMT!E2</f>
        <v>0.0</v>
      </c>
      <c r="G8" s="30" t="n">
        <f>IF(B8="","",IF(F8&lt;D8,F8,D8))</f>
        <v>0.0</v>
      </c>
      <c r="H8" s="31" t="n">
        <f>IF(B8="","",F8-G8)</f>
        <v>0.0</v>
      </c>
      <c r="I8" s="32" t="n">
        <f>IFERROR(IF(B8="","",C8-H8),0)</f>
        <v>99945.5556</v>
      </c>
      <c r="J8" s="33" t="n">
        <f>IFERROR(IF(B8="","",(I8*$B$2)/360),0)</f>
        <v>41.6439815</v>
      </c>
      <c r="K8" s="31" t="n">
        <f>IFERROR(IF(B8="","",D8-G8+J8),0)</f>
        <v>97.1693815</v>
      </c>
      <c r="N8" s="11"/>
      <c r="O8" s="34"/>
      <c r="P8" s="18"/>
    </row>
    <row r="9" spans="1:16" ht="15.75" thickBot="1" x14ac:dyDescent="0.3">
      <c r="A9" s="35"/>
      <c r="B9" s="36"/>
      <c r="C9" s="37"/>
      <c r="D9" s="38"/>
      <c r="E9" s="38"/>
      <c r="G9" s="39" t="n">
        <f>IFERROR(IF(G8="",0,G8),0)</f>
        <v>0.0</v>
      </c>
      <c r="H9" s="39" t="n">
        <f>IFERROR(IF(H8="",0,H8),0)</f>
        <v>0.0</v>
      </c>
      <c r="I9" s="39" t="n">
        <f>IF(I8="",0,I8)</f>
        <v>99945.5556</v>
      </c>
      <c r="J9" s="39" t="n">
        <f>IF(K8="",0,K8)</f>
        <v>97.1693815</v>
      </c>
    </row>
    <row r="10" spans="1:16" x14ac:dyDescent="0.25">
      <c r="A10" s="35"/>
      <c r="B10" s="36"/>
      <c r="C10" s="38"/>
      <c r="D10" s="37"/>
      <c r="E10" s="38"/>
      <c r="F10" s="38"/>
      <c r="G10" s="38"/>
      <c r="H10" s="40"/>
      <c r="I10" s="41"/>
      <c r="J10" s="37"/>
      <c r="K10" s="40"/>
    </row>
    <row r="12" spans="1:16" x14ac:dyDescent="0.25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x14ac:dyDescent="0.25">
      <c r="A13" s="28" t="s">
        <v>35</v>
      </c>
      <c r="B13" s="28" t="s">
        <v>36</v>
      </c>
      <c r="C13" s="28" t="s">
        <v>37</v>
      </c>
      <c r="D13" s="28" t="s">
        <v>38</v>
      </c>
      <c r="E13" s="28" t="s">
        <v>39</v>
      </c>
      <c r="F13" s="28" t="s">
        <v>40</v>
      </c>
      <c r="G13" s="28" t="s">
        <v>41</v>
      </c>
      <c r="H13" s="28" t="s">
        <v>42</v>
      </c>
      <c r="I13" s="28" t="s">
        <v>43</v>
      </c>
      <c r="J13" s="42" t="s">
        <v>44</v>
      </c>
      <c r="K13" s="42" t="s">
        <v>45</v>
      </c>
    </row>
    <row r="14" spans="1:16" x14ac:dyDescent="0.25">
      <c r="A14" s="43">
        <v>1</v>
      </c>
      <c r="B14" s="29" t="n">
        <f>IF(INT_ACC!B2="","",INT_ACC!B2)</f>
        <v>44597.229166666664</v>
      </c>
      <c r="C14" s="43" t="n">
        <f>VALUE(INT_ACC!F2)</f>
        <v>99945.5556</v>
      </c>
      <c r="D14" s="43" t="n">
        <f>VALUE(INT_ACC!G2)</f>
        <v>55.5254</v>
      </c>
      <c r="E14" s="30" t="n">
        <f>IF(B14="","",IF(B15="",0,(B15-B14)-1))</f>
        <v>0.0</v>
      </c>
      <c r="F14" s="30">
        <v>0</v>
      </c>
      <c r="G14" s="30" t="n">
        <f>G9</f>
        <v>0.0</v>
      </c>
      <c r="H14" s="30" t="n">
        <f>H9</f>
        <v>0.0</v>
      </c>
      <c r="I14" s="44" t="n">
        <f>C14-H14</f>
        <v>99945.5556</v>
      </c>
      <c r="J14" s="45" t="n">
        <f>IF(B14="",0,(I14*$B$2)/360)</f>
        <v>41.6439815</v>
      </c>
      <c r="K14" s="46" t="n">
        <f>D14+J14-G14</f>
        <v>97.1693815</v>
      </c>
    </row>
    <row r="15" spans="1:16" x14ac:dyDescent="0.25">
      <c r="K15" s="11"/>
    </row>
    <row r="16" spans="1:16" x14ac:dyDescent="0.25">
      <c r="A16" s="2" t="s">
        <v>47</v>
      </c>
      <c r="B16" s="2"/>
    </row>
    <row r="17" spans="1:6" x14ac:dyDescent="0.25">
      <c r="A17" s="47" t="s">
        <v>48</v>
      </c>
      <c r="B17" s="48" t="n">
        <f>J14</f>
        <v>41.6439815</v>
      </c>
    </row>
    <row r="18" spans="1:6" x14ac:dyDescent="0.25">
      <c r="A18" s="4" t="s">
        <v>49</v>
      </c>
      <c r="B18" s="49"/>
    </row>
    <row r="19" spans="1:6" x14ac:dyDescent="0.25">
      <c r="A19" s="4" t="s">
        <v>50</v>
      </c>
      <c r="B19" s="50" t="n">
        <f>G9</f>
        <v>0.0</v>
      </c>
      <c r="D19" s="11"/>
    </row>
    <row r="20" spans="1:6" x14ac:dyDescent="0.25">
      <c r="A20" s="51" t="s">
        <v>33</v>
      </c>
      <c r="B20" s="50" t="n">
        <f>E3</f>
        <v>0.0</v>
      </c>
    </row>
    <row r="22" spans="1:6" x14ac:dyDescent="0.25">
      <c r="A22" s="2" t="s">
        <v>51</v>
      </c>
      <c r="B22" s="2"/>
    </row>
    <row r="23" spans="1:6" x14ac:dyDescent="0.25">
      <c r="A23" s="47" t="s">
        <v>52</v>
      </c>
      <c r="B23" s="52" t="n">
        <f>H9</f>
        <v>0.0</v>
      </c>
    </row>
    <row r="24" spans="1:6" x14ac:dyDescent="0.25">
      <c r="A24" s="4" t="s">
        <v>53</v>
      </c>
      <c r="B24" s="53"/>
    </row>
    <row r="25" spans="1:6" x14ac:dyDescent="0.25">
      <c r="A25" s="51" t="s">
        <v>32</v>
      </c>
      <c r="B25" s="53" t="n">
        <f>E2</f>
        <v>0.0</v>
      </c>
    </row>
    <row r="27" spans="1:6" x14ac:dyDescent="0.25">
      <c r="A27" s="2" t="s">
        <v>0</v>
      </c>
      <c r="B27" s="2"/>
      <c r="C27" s="2"/>
      <c r="D27" s="2"/>
      <c r="E27" s="2"/>
      <c r="F27" s="2"/>
    </row>
    <row r="28" spans="1:6" x14ac:dyDescent="0.25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spans="1:6" x14ac:dyDescent="0.25">
      <c r="A29" s="6" t="n">
        <f>IF(E2=0,B4,"")</f>
        <v>44597.229166666664</v>
      </c>
      <c r="B29" s="6" t="n">
        <f>A29</f>
        <v>44597.229166666664</v>
      </c>
      <c r="C29" s="4" t="str">
        <f t="shared" ref="C29:C35" si="0">IF(A29="","",$B$3)</f>
        <v>IDHJ-EGNY</v>
      </c>
      <c r="D29" s="4" t="str">
        <f>IF(A29="","","Servicing_Interest_Accrual")</f>
        <v>Servicing_Interest_Accrual</v>
      </c>
      <c r="E29" s="55" t="n">
        <f>IF(A29="","",ROUND(B17,4))</f>
        <v>41.644</v>
      </c>
      <c r="F29" s="4" t="str">
        <f>IF(A29="","",INT_ACC!$D$2)</f>
        <v>1.0</v>
      </c>
    </row>
    <row r="30" spans="1:6" x14ac:dyDescent="0.25">
      <c r="A30" s="6" t="str">
        <f>IF(ROUND(B18,4)=0,"",$B$4)</f>
        <v/>
      </c>
      <c r="B30" s="6" t="str">
        <f t="shared" ref="B30:B35" si="1">IF(A30="","",A30)</f>
        <v/>
      </c>
      <c r="C30" s="4" t="str">
        <f t="shared" si="0"/>
        <v/>
      </c>
      <c r="D30" s="4" t="str">
        <f>IF(A30="","","Interest_Adjustment")</f>
        <v/>
      </c>
      <c r="E30" s="56" t="str">
        <f>IF(A30="","",ROUND(B18,4))</f>
        <v/>
      </c>
      <c r="F30" s="4" t="str">
        <f>IF(A30="","",INT_ACC!$D$2)</f>
        <v/>
      </c>
    </row>
    <row r="31" spans="1:6" x14ac:dyDescent="0.25">
      <c r="A31" s="6" t="str">
        <f>IF(ROUND(B19,4)=0,"",$B$4)</f>
        <v/>
      </c>
      <c r="B31" s="6" t="str">
        <f t="shared" si="1"/>
        <v/>
      </c>
      <c r="C31" s="4" t="str">
        <f t="shared" si="0"/>
        <v/>
      </c>
      <c r="D31" s="4" t="str">
        <f>IF(A31="","","Payment_Interest")</f>
        <v/>
      </c>
      <c r="E31" s="56" t="str">
        <f>IF(A31="","",ROUND(B19,4)*-1)</f>
        <v/>
      </c>
      <c r="F31" s="4" t="str">
        <f>IF(A31="","",INT_ACC!$D$2)</f>
        <v/>
      </c>
    </row>
    <row r="32" spans="1:6" x14ac:dyDescent="0.25">
      <c r="A32" s="6" t="str">
        <f>IF(ROUND(B23,4)=0,"",$B$4)</f>
        <v/>
      </c>
      <c r="B32" s="6" t="str">
        <f t="shared" si="1"/>
        <v/>
      </c>
      <c r="C32" s="4" t="str">
        <f t="shared" si="0"/>
        <v/>
      </c>
      <c r="D32" s="4" t="str">
        <f>IF(A32="","","Payment_UPB")</f>
        <v/>
      </c>
      <c r="E32" s="56" t="str">
        <f>IF(A32="","",ROUND(B23,4)*-1)</f>
        <v/>
      </c>
      <c r="F32" s="4" t="str">
        <f>IF(A32="","",INT_ACC!$D$2)</f>
        <v/>
      </c>
    </row>
    <row r="33" spans="1:6" x14ac:dyDescent="0.25">
      <c r="A33" s="6" t="str">
        <f>IF(ROUND(B24,4)=0,"",$B$4)</f>
        <v/>
      </c>
      <c r="B33" s="6" t="str">
        <f t="shared" si="1"/>
        <v/>
      </c>
      <c r="C33" s="4" t="str">
        <f t="shared" si="0"/>
        <v/>
      </c>
      <c r="D33" s="4" t="str">
        <f>IF(A33="","","Principal_Adjustment")</f>
        <v/>
      </c>
      <c r="E33" s="56" t="str">
        <f>IF(A33="","",ROUND(B24,4))</f>
        <v/>
      </c>
      <c r="F33" s="4" t="str">
        <f>IF(A33="","",INT_ACC!$D$2)</f>
        <v/>
      </c>
    </row>
    <row r="34" spans="1:6" x14ac:dyDescent="0.25">
      <c r="A34" s="6" t="str">
        <f>IF(ROUND(B25,4)=0,"",$B$4)</f>
        <v/>
      </c>
      <c r="B34" s="6" t="str">
        <f t="shared" si="1"/>
        <v/>
      </c>
      <c r="C34" s="4" t="str">
        <f t="shared" si="0"/>
        <v/>
      </c>
      <c r="D34" s="4" t="str">
        <f>IF(A34="","","Purchase_UPB")</f>
        <v/>
      </c>
      <c r="E34" s="56" t="str">
        <f>IF(A34="","",ROUND(B25,4))</f>
        <v/>
      </c>
      <c r="F34" s="4" t="str">
        <f>IF(A34="","",INT_ACC!$D$2)</f>
        <v/>
      </c>
    </row>
    <row r="35" spans="1:6" x14ac:dyDescent="0.25">
      <c r="A35" s="6" t="str">
        <f>IF(ROUND(B20,4)=0,"",$B$4)</f>
        <v/>
      </c>
      <c r="B35" s="6" t="str">
        <f t="shared" si="1"/>
        <v/>
      </c>
      <c r="C35" s="4" t="str">
        <f t="shared" si="0"/>
        <v/>
      </c>
      <c r="D35" s="4" t="str">
        <f>IF(A35="","","Purchase_Interest")</f>
        <v/>
      </c>
      <c r="E35" s="56" t="str">
        <f>IF(A35="","",ROUND(B20,4))</f>
        <v/>
      </c>
      <c r="F35" s="4" t="str">
        <f>IF(A35="","",INT_ACC!$D$2)</f>
        <v/>
      </c>
    </row>
  </sheetData>
  <mergeCells count="5">
    <mergeCell ref="A1:K1"/>
    <mergeCell ref="A12:K12"/>
    <mergeCell ref="A16:B16"/>
    <mergeCell ref="A22:B22"/>
    <mergeCell ref="A27:F2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18" zoomScaleNormal="100" workbookViewId="0">
      <selection activeCell="A33" sqref="A33:E33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54.5703125"/>
  </cols>
  <sheetData>
    <row r="1" spans="1:12" ht="23.25" x14ac:dyDescent="0.35">
      <c r="A1" s="1">
        <v>44592</v>
      </c>
      <c r="B1" s="1"/>
      <c r="C1" s="1"/>
      <c r="D1" s="1"/>
      <c r="E1" s="1"/>
      <c r="F1" s="1"/>
      <c r="G1" s="1"/>
      <c r="H1" s="1"/>
    </row>
    <row r="2" spans="1:12" x14ac:dyDescent="0.25">
      <c r="A2" s="5" t="s">
        <v>56</v>
      </c>
    </row>
    <row r="3" spans="1:12" x14ac:dyDescent="0.25">
      <c r="A3" s="14" t="s">
        <v>18</v>
      </c>
      <c r="B3" s="5" t="s">
        <v>19</v>
      </c>
      <c r="C3" s="15" t="s">
        <v>20</v>
      </c>
      <c r="D3" s="15" t="s">
        <v>21</v>
      </c>
      <c r="E3" s="16" t="s">
        <v>57</v>
      </c>
      <c r="F3" s="17" t="s">
        <v>58</v>
      </c>
    </row>
    <row r="4" spans="1:12" x14ac:dyDescent="0.25">
      <c r="A4" s="18">
        <v>44592</v>
      </c>
      <c r="B4" s="18">
        <v>44592</v>
      </c>
      <c r="C4" s="19" t="s">
        <v>59</v>
      </c>
      <c r="D4" s="0">
        <v>1</v>
      </c>
      <c r="E4" s="0">
        <v>100000</v>
      </c>
      <c r="F4" s="0">
        <v>100</v>
      </c>
    </row>
    <row r="6" spans="1:12" x14ac:dyDescent="0.25">
      <c r="A6" s="5" t="s">
        <v>60</v>
      </c>
    </row>
    <row r="7" spans="1:12" x14ac:dyDescent="0.25">
      <c r="A7" s="14" t="s">
        <v>18</v>
      </c>
      <c r="B7" s="5" t="s">
        <v>19</v>
      </c>
      <c r="C7" s="15" t="s">
        <v>20</v>
      </c>
      <c r="D7" s="15" t="s">
        <v>21</v>
      </c>
      <c r="E7" s="16" t="s">
        <v>61</v>
      </c>
      <c r="F7" s="16" t="s">
        <v>62</v>
      </c>
      <c r="G7" s="16" t="s">
        <v>63</v>
      </c>
      <c r="H7" s="16" t="s">
        <v>64</v>
      </c>
      <c r="I7" s="5"/>
      <c r="J7" s="5"/>
      <c r="K7" s="5"/>
      <c r="L7" s="5"/>
    </row>
    <row r="8" spans="1:12" x14ac:dyDescent="0.25">
      <c r="A8" s="18">
        <v>44592</v>
      </c>
      <c r="B8" s="18">
        <v>44592</v>
      </c>
      <c r="C8" s="19" t="s">
        <v>59</v>
      </c>
      <c r="D8" s="0">
        <v>1</v>
      </c>
      <c r="E8" s="0">
        <v>10</v>
      </c>
      <c r="F8" s="0">
        <v>0</v>
      </c>
      <c r="G8" s="0">
        <v>0</v>
      </c>
      <c r="H8" s="0">
        <v>0</v>
      </c>
    </row>
    <row r="11" spans="1:12" ht="23.25" x14ac:dyDescent="0.35">
      <c r="A11" s="1">
        <v>44593</v>
      </c>
      <c r="B11" s="1"/>
      <c r="C11" s="1"/>
      <c r="D11" s="1"/>
      <c r="E11" s="1"/>
      <c r="F11" s="1"/>
      <c r="G11" s="1"/>
      <c r="H11" s="1"/>
    </row>
    <row r="12" spans="1:12" x14ac:dyDescent="0.25">
      <c r="B12" t="str" s="0">
        <f>TEXT(B15,"mm/dd/yyyy")</f>
        <v>01/31/2022</v>
      </c>
    </row>
    <row r="13" spans="1:12" x14ac:dyDescent="0.25">
      <c r="A13" s="5" t="s">
        <v>60</v>
      </c>
    </row>
    <row r="14" spans="1:12" x14ac:dyDescent="0.25">
      <c r="A14" s="14" t="s">
        <v>18</v>
      </c>
      <c r="B14" s="5" t="s">
        <v>19</v>
      </c>
      <c r="C14" s="15" t="s">
        <v>20</v>
      </c>
      <c r="D14" s="15" t="s">
        <v>21</v>
      </c>
      <c r="E14" s="16" t="s">
        <v>61</v>
      </c>
      <c r="F14" s="16" t="s">
        <v>62</v>
      </c>
      <c r="G14" s="16" t="s">
        <v>63</v>
      </c>
      <c r="H14" s="16" t="s">
        <v>64</v>
      </c>
    </row>
    <row r="15" spans="1:12" x14ac:dyDescent="0.25">
      <c r="A15" s="18" t="s">
        <v>65</v>
      </c>
      <c r="B15" s="18" t="s">
        <v>65</v>
      </c>
      <c r="C15" s="19" t="s">
        <v>59</v>
      </c>
      <c r="D15" s="0">
        <v>1</v>
      </c>
      <c r="E15" s="0">
        <v>10</v>
      </c>
      <c r="F15" s="0">
        <v>100000</v>
      </c>
      <c r="G15" s="0">
        <v>100</v>
      </c>
      <c r="H15" s="0">
        <v>0</v>
      </c>
    </row>
    <row r="18" spans="1:8" ht="23.25" x14ac:dyDescent="0.35">
      <c r="A18" s="1">
        <v>44594</v>
      </c>
      <c r="B18" s="1"/>
      <c r="C18" s="1"/>
      <c r="D18" s="1"/>
      <c r="E18" s="1"/>
      <c r="F18" s="1"/>
      <c r="G18" s="1"/>
      <c r="H18" s="1"/>
    </row>
    <row r="19" spans="1:8" ht="23.25" x14ac:dyDescent="0.35">
      <c r="A19" s="57"/>
      <c r="B19" s="58"/>
      <c r="C19" s="58"/>
      <c r="D19" s="58"/>
      <c r="E19" s="58"/>
      <c r="F19" s="58"/>
      <c r="G19" s="58"/>
      <c r="H19" s="58"/>
    </row>
    <row r="20" spans="1:8" x14ac:dyDescent="0.25">
      <c r="A20" s="5" t="s">
        <v>60</v>
      </c>
    </row>
    <row r="21" spans="1:8" x14ac:dyDescent="0.25">
      <c r="A21" s="14" t="s">
        <v>18</v>
      </c>
      <c r="B21" s="5" t="s">
        <v>19</v>
      </c>
      <c r="C21" s="15" t="s">
        <v>20</v>
      </c>
      <c r="D21" s="15" t="s">
        <v>21</v>
      </c>
      <c r="E21" s="16" t="s">
        <v>61</v>
      </c>
      <c r="F21" s="16" t="s">
        <v>62</v>
      </c>
      <c r="G21" s="16" t="s">
        <v>63</v>
      </c>
      <c r="H21" s="16" t="s">
        <v>64</v>
      </c>
    </row>
    <row r="22" spans="1:8" x14ac:dyDescent="0.25">
      <c r="A22" s="18">
        <v>44594</v>
      </c>
      <c r="B22" s="18">
        <v>44594</v>
      </c>
      <c r="C22" s="19" t="s">
        <v>59</v>
      </c>
      <c r="D22" s="0">
        <v>1</v>
      </c>
      <c r="E22" s="0">
        <v>10</v>
      </c>
      <c r="F22" s="0">
        <v>100000</v>
      </c>
      <c r="G22" s="0">
        <v>127.7778</v>
      </c>
      <c r="H22" s="0">
        <v>27.777799999999999</v>
      </c>
    </row>
    <row r="25" spans="1:8" ht="23.25" x14ac:dyDescent="0.35">
      <c r="A25" s="1">
        <v>44595</v>
      </c>
      <c r="B25" s="1"/>
      <c r="C25" s="1"/>
      <c r="D25" s="1"/>
      <c r="E25" s="1"/>
      <c r="F25" s="1"/>
      <c r="G25" s="1"/>
      <c r="H25" s="1"/>
    </row>
    <row r="27" spans="1:8" x14ac:dyDescent="0.25">
      <c r="A27" s="5" t="s">
        <v>60</v>
      </c>
    </row>
    <row r="28" spans="1:8" x14ac:dyDescent="0.25">
      <c r="A28" s="14" t="s">
        <v>18</v>
      </c>
      <c r="B28" s="5" t="s">
        <v>19</v>
      </c>
      <c r="C28" s="15" t="s">
        <v>20</v>
      </c>
      <c r="D28" s="15" t="s">
        <v>21</v>
      </c>
      <c r="E28" s="16" t="s">
        <v>61</v>
      </c>
      <c r="F28" s="16" t="s">
        <v>62</v>
      </c>
      <c r="G28" s="16" t="s">
        <v>63</v>
      </c>
      <c r="H28" s="16" t="s">
        <v>64</v>
      </c>
    </row>
    <row r="29" spans="1:8" x14ac:dyDescent="0.25">
      <c r="A29" s="18">
        <v>44595</v>
      </c>
      <c r="B29" s="18">
        <v>44595</v>
      </c>
      <c r="C29" s="19" t="s">
        <v>59</v>
      </c>
      <c r="D29" s="0">
        <v>1</v>
      </c>
      <c r="E29" s="0">
        <v>10</v>
      </c>
      <c r="F29" s="0">
        <v>100000</v>
      </c>
      <c r="G29" s="0">
        <v>155.5556</v>
      </c>
      <c r="H29" s="0">
        <v>55.555599999999998</v>
      </c>
    </row>
    <row r="31" spans="1:8" x14ac:dyDescent="0.25">
      <c r="A31" s="5" t="s">
        <v>66</v>
      </c>
    </row>
    <row r="32" spans="1:8" x14ac:dyDescent="0.25">
      <c r="A32" s="14" t="s">
        <v>18</v>
      </c>
      <c r="B32" s="5" t="s">
        <v>19</v>
      </c>
      <c r="C32" s="15" t="s">
        <v>20</v>
      </c>
      <c r="D32" s="15" t="s">
        <v>21</v>
      </c>
      <c r="E32" s="16" t="s">
        <v>67</v>
      </c>
    </row>
    <row r="33" spans="1:8" x14ac:dyDescent="0.25">
      <c r="A33" s="18">
        <v>44595</v>
      </c>
      <c r="B33" s="18">
        <v>44595</v>
      </c>
      <c r="C33" s="19" t="s">
        <v>59</v>
      </c>
      <c r="D33" s="0">
        <v>1</v>
      </c>
      <c r="E33" s="20">
        <v>210</v>
      </c>
    </row>
    <row r="36" spans="1:8" ht="23.25" x14ac:dyDescent="0.35">
      <c r="A36" s="1">
        <v>44596</v>
      </c>
      <c r="B36" s="1"/>
      <c r="C36" s="1"/>
      <c r="D36" s="1"/>
      <c r="E36" s="1"/>
      <c r="F36" s="1"/>
      <c r="G36" s="1"/>
      <c r="H36" s="1"/>
    </row>
    <row r="38" spans="1:8" x14ac:dyDescent="0.25">
      <c r="A38" s="5" t="s">
        <v>60</v>
      </c>
    </row>
    <row r="39" spans="1:8" x14ac:dyDescent="0.25">
      <c r="A39" s="14" t="s">
        <v>18</v>
      </c>
      <c r="B39" s="5" t="s">
        <v>19</v>
      </c>
      <c r="C39" s="15" t="s">
        <v>20</v>
      </c>
      <c r="D39" s="15" t="s">
        <v>21</v>
      </c>
      <c r="E39" s="16" t="s">
        <v>61</v>
      </c>
      <c r="F39" s="16" t="s">
        <v>62</v>
      </c>
      <c r="G39" s="16" t="s">
        <v>63</v>
      </c>
      <c r="H39" s="16" t="s">
        <v>64</v>
      </c>
    </row>
    <row r="40" spans="1:8" x14ac:dyDescent="0.25">
      <c r="A40" s="18">
        <v>44596</v>
      </c>
      <c r="B40" s="18">
        <v>44596</v>
      </c>
      <c r="C40" s="19" t="s">
        <v>59</v>
      </c>
      <c r="D40" s="0">
        <v>1</v>
      </c>
      <c r="E40" s="0">
        <v>10</v>
      </c>
      <c r="F40" s="0">
        <v>99945.555600000007</v>
      </c>
      <c r="G40" s="0">
        <v>27.762699999999999</v>
      </c>
      <c r="H40" s="0" t="n">
        <f>H29+G40</f>
        <v>83.3183</v>
      </c>
    </row>
    <row r="43" spans="1:8" ht="23.25" x14ac:dyDescent="0.35">
      <c r="A43" s="1">
        <v>44597</v>
      </c>
      <c r="B43" s="1"/>
      <c r="C43" s="1"/>
      <c r="D43" s="1"/>
      <c r="E43" s="1"/>
      <c r="F43" s="1"/>
      <c r="G43" s="1"/>
      <c r="H43" s="1"/>
    </row>
    <row r="45" spans="1:8" x14ac:dyDescent="0.25">
      <c r="A45" s="5" t="s">
        <v>60</v>
      </c>
    </row>
    <row r="46" spans="1:8" x14ac:dyDescent="0.25">
      <c r="A46" s="14" t="s">
        <v>18</v>
      </c>
      <c r="B46" s="5" t="s">
        <v>19</v>
      </c>
      <c r="C46" s="15" t="s">
        <v>20</v>
      </c>
      <c r="D46" s="15" t="s">
        <v>21</v>
      </c>
      <c r="E46" s="16" t="s">
        <v>61</v>
      </c>
      <c r="F46" s="16" t="s">
        <v>62</v>
      </c>
      <c r="G46" s="16" t="s">
        <v>63</v>
      </c>
      <c r="H46" s="16" t="s">
        <v>64</v>
      </c>
    </row>
    <row r="47" spans="1:8" x14ac:dyDescent="0.25">
      <c r="A47" s="18">
        <v>44597</v>
      </c>
      <c r="B47" s="18">
        <v>44597</v>
      </c>
      <c r="C47" s="19" t="s">
        <v>59</v>
      </c>
      <c r="D47" s="0">
        <v>1</v>
      </c>
      <c r="E47" s="0">
        <v>10</v>
      </c>
      <c r="F47" s="0">
        <v>99945.555600000007</v>
      </c>
      <c r="G47" s="0">
        <v>55.525399999999998</v>
      </c>
      <c r="H47" s="0">
        <v>111.081</v>
      </c>
    </row>
    <row r="49" spans="1:6" x14ac:dyDescent="0.25">
      <c r="A49" s="5" t="s">
        <v>68</v>
      </c>
    </row>
    <row r="50" spans="1:6" x14ac:dyDescent="0.25">
      <c r="A50" s="14" t="s">
        <v>18</v>
      </c>
      <c r="B50" s="5" t="s">
        <v>19</v>
      </c>
      <c r="C50" s="15" t="s">
        <v>20</v>
      </c>
      <c r="D50" s="15" t="s">
        <v>21</v>
      </c>
      <c r="E50" s="16" t="s">
        <v>61</v>
      </c>
      <c r="F50" s="16" t="s">
        <v>69</v>
      </c>
    </row>
    <row r="51" spans="1:6" x14ac:dyDescent="0.25">
      <c r="A51" s="18">
        <v>44596</v>
      </c>
      <c r="B51" s="18">
        <v>44596</v>
      </c>
      <c r="C51" s="19" t="s">
        <v>59</v>
      </c>
      <c r="D51" s="0">
        <v>1</v>
      </c>
      <c r="E51" s="0">
        <v>15</v>
      </c>
      <c r="F51" s="0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customWidth="true" width="32.5703125"/>
    <col min="2" max="2" customWidth="true" width="38.42578125"/>
    <col min="3" max="3" customWidth="true" width="20.140625"/>
  </cols>
  <sheetData>
    <row r="1" spans="1:3" x14ac:dyDescent="0.25">
      <c r="A1" s="5" t="s">
        <v>60</v>
      </c>
    </row>
    <row r="3" spans="1:3" x14ac:dyDescent="0.25">
      <c r="A3" t="s" s="0">
        <v>70</v>
      </c>
    </row>
    <row r="4" spans="1:3" x14ac:dyDescent="0.25">
      <c r="A4" t="s" s="0">
        <v>71</v>
      </c>
    </row>
    <row r="6" spans="1:3" x14ac:dyDescent="0.25">
      <c r="A6" t="s" s="0">
        <v>72</v>
      </c>
    </row>
    <row r="7" spans="1:3" x14ac:dyDescent="0.25">
      <c r="A7" t="s" s="0">
        <v>1</v>
      </c>
      <c r="B7" t="s" s="0">
        <v>73</v>
      </c>
      <c r="C7" t="s" s="0">
        <v>74</v>
      </c>
    </row>
    <row r="8" spans="1:3" x14ac:dyDescent="0.25">
      <c r="A8" t="s" s="0">
        <v>75</v>
      </c>
      <c r="B8" t="s" s="0">
        <v>76</v>
      </c>
      <c r="C8" t="s" s="0">
        <v>77</v>
      </c>
    </row>
    <row r="11" spans="1:3" x14ac:dyDescent="0.25">
      <c r="A11" s="5" t="s">
        <v>66</v>
      </c>
    </row>
    <row r="13" spans="1:3" x14ac:dyDescent="0.25">
      <c r="A13" t="s" s="0">
        <v>70</v>
      </c>
      <c r="B13" t="s" s="0">
        <v>78</v>
      </c>
    </row>
    <row r="14" spans="1:3" x14ac:dyDescent="0.25">
      <c r="A14" t="s" s="0">
        <v>79</v>
      </c>
      <c r="B14" t="s" s="0">
        <v>16</v>
      </c>
    </row>
    <row r="17" spans="1:3" x14ac:dyDescent="0.25">
      <c r="A17" t="s" s="0">
        <v>72</v>
      </c>
    </row>
    <row r="18" spans="1:3" x14ac:dyDescent="0.25">
      <c r="A18" t="s" s="0">
        <v>0</v>
      </c>
      <c r="B18" t="s" s="0">
        <v>7</v>
      </c>
      <c r="C18" t="s" s="0">
        <v>16</v>
      </c>
    </row>
    <row r="20" spans="1:3" x14ac:dyDescent="0.25">
      <c r="A20" s="5" t="s">
        <v>56</v>
      </c>
    </row>
    <row r="21" spans="1:3" x14ac:dyDescent="0.25">
      <c r="A21" t="s" s="0">
        <v>70</v>
      </c>
    </row>
    <row r="22" spans="1:3" x14ac:dyDescent="0.25">
      <c r="A22" t="s" s="0">
        <v>80</v>
      </c>
    </row>
    <row r="24" spans="1:3" x14ac:dyDescent="0.25">
      <c r="A24" t="s" s="0">
        <v>72</v>
      </c>
    </row>
    <row r="25" spans="1:3" x14ac:dyDescent="0.25">
      <c r="A25" t="s" s="0">
        <v>75</v>
      </c>
      <c r="B25" t="s" s="0">
        <v>81</v>
      </c>
      <c r="C25" t="s" s="0">
        <v>77</v>
      </c>
    </row>
    <row r="26" spans="1:3" x14ac:dyDescent="0.25">
      <c r="A26" t="s" s="0">
        <v>75</v>
      </c>
      <c r="B26" t="s" s="0">
        <v>82</v>
      </c>
      <c r="C26" t="s" s="0">
        <v>77</v>
      </c>
    </row>
    <row r="28" spans="1:3" x14ac:dyDescent="0.25">
      <c r="A28" s="5" t="s">
        <v>68</v>
      </c>
    </row>
    <row r="29" spans="1:3" x14ac:dyDescent="0.25">
      <c r="A29" t="s" s="0">
        <v>70</v>
      </c>
    </row>
    <row r="30" spans="1:3" x14ac:dyDescent="0.25">
      <c r="A30" t="s" s="0">
        <v>83</v>
      </c>
    </row>
    <row r="32" spans="1:3" x14ac:dyDescent="0.25">
      <c r="A32" t="s" s="0">
        <v>72</v>
      </c>
    </row>
    <row r="33" spans="1:3" x14ac:dyDescent="0.25">
      <c r="A33" t="s" s="0">
        <v>75</v>
      </c>
      <c r="B33" t="s" s="0">
        <v>31</v>
      </c>
      <c r="C33" t="s" s="0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8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customWidth="true" style="19" width="33.0"/>
    <col min="2" max="2" customWidth="true" style="19" width="15.42578125"/>
    <col min="3" max="3" customWidth="true" style="19" width="12.5703125"/>
    <col min="4" max="4" customWidth="true" style="19" width="32.7109375"/>
    <col min="5" max="5" customWidth="true" style="19" width="22.0"/>
    <col min="6" max="6" customWidth="true" style="19" width="10.85546875"/>
    <col min="7" max="16384" style="19" width="8.7109375"/>
  </cols>
  <sheetData>
    <row r="1" spans="1:6" x14ac:dyDescent="0.25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spans="1:6" x14ac:dyDescent="0.25">
      <c r="A2" s="59" t="n">
        <f>CALCULATION!A29</f>
        <v>44597.229166666664</v>
      </c>
      <c r="B2" s="59" t="n">
        <f>CALCULATION!B29</f>
        <v>44597.229166666664</v>
      </c>
      <c r="C2" s="59" t="str">
        <f>CALCULATION!C29</f>
        <v>IDHJ-EGNY</v>
      </c>
      <c r="D2" s="59" t="str">
        <f>CALCULATION!D29</f>
        <v>Servicing_Interest_Accrual</v>
      </c>
      <c r="E2" s="60" t="n">
        <f>CALCULATION!E29</f>
        <v>41.644</v>
      </c>
      <c r="F2" s="61" t="str">
        <f>CALCULATION!F29</f>
        <v>1.0</v>
      </c>
    </row>
    <row r="3" spans="1:6" x14ac:dyDescent="0.25">
      <c r="A3" s="59" t="str">
        <f>CALCULATION!A30</f>
        <v/>
      </c>
      <c r="B3" s="59" t="str">
        <f>CALCULATION!B30</f>
        <v/>
      </c>
      <c r="C3" s="59" t="str">
        <f>CALCULATION!C30</f>
        <v/>
      </c>
      <c r="D3" s="59" t="str">
        <f>CALCULATION!D30</f>
        <v/>
      </c>
      <c r="E3" s="60" t="str">
        <f>CALCULATION!E30</f>
        <v/>
      </c>
      <c r="F3" s="61" t="str">
        <f>CALCULATION!F30</f>
        <v/>
      </c>
    </row>
    <row r="4" spans="1:6" x14ac:dyDescent="0.25">
      <c r="A4" s="59" t="str">
        <f>CALCULATION!A31</f>
        <v/>
      </c>
      <c r="B4" s="59" t="str">
        <f>CALCULATION!B31</f>
        <v/>
      </c>
      <c r="C4" s="59" t="str">
        <f>CALCULATION!C31</f>
        <v/>
      </c>
      <c r="D4" s="59" t="str">
        <f>CALCULATION!D31</f>
        <v/>
      </c>
      <c r="E4" s="60" t="str">
        <f>CALCULATION!E31</f>
        <v/>
      </c>
      <c r="F4" s="61" t="str">
        <f>CALCULATION!F31</f>
        <v/>
      </c>
    </row>
    <row r="5" spans="1:6" x14ac:dyDescent="0.25">
      <c r="A5" s="59" t="str">
        <f>CALCULATION!A32</f>
        <v/>
      </c>
      <c r="B5" s="59" t="str">
        <f>CALCULATION!B32</f>
        <v/>
      </c>
      <c r="C5" s="59" t="str">
        <f>CALCULATION!C32</f>
        <v/>
      </c>
      <c r="D5" s="59" t="str">
        <f>CALCULATION!D32</f>
        <v/>
      </c>
      <c r="E5" s="60" t="str">
        <f>CALCULATION!E32</f>
        <v/>
      </c>
      <c r="F5" s="61" t="str">
        <f>CALCULATION!F32</f>
        <v/>
      </c>
    </row>
    <row r="6" spans="1:6" x14ac:dyDescent="0.25">
      <c r="A6" s="59" t="str">
        <f>CALCULATION!A33</f>
        <v/>
      </c>
      <c r="B6" s="59" t="str">
        <f>CALCULATION!B33</f>
        <v/>
      </c>
      <c r="C6" s="59" t="str">
        <f>CALCULATION!C33</f>
        <v/>
      </c>
      <c r="D6" s="59" t="str">
        <f>CALCULATION!D33</f>
        <v/>
      </c>
      <c r="E6" s="60" t="str">
        <f>CALCULATION!E33</f>
        <v/>
      </c>
      <c r="F6" s="61" t="str">
        <f>CALCULATION!F33</f>
        <v/>
      </c>
    </row>
    <row r="7" spans="1:6" ht="15" customHeight="1" x14ac:dyDescent="0.25">
      <c r="A7" s="59" t="str">
        <f>CALCULATION!A34</f>
        <v/>
      </c>
      <c r="B7" s="59" t="str">
        <f>CALCULATION!B34</f>
        <v/>
      </c>
      <c r="C7" s="59" t="str">
        <f>CALCULATION!C34</f>
        <v/>
      </c>
      <c r="D7" s="59" t="str">
        <f>CALCULATION!D34</f>
        <v/>
      </c>
      <c r="E7" s="60" t="str">
        <f>CALCULATION!E34</f>
        <v/>
      </c>
      <c r="F7" s="61" t="str">
        <f>CALCULATION!F34</f>
        <v/>
      </c>
    </row>
    <row r="8" spans="1:6" ht="15" customHeight="1" x14ac:dyDescent="0.25">
      <c r="A8" s="59" t="str">
        <f>CALCULATION!A35</f>
        <v/>
      </c>
      <c r="B8" s="59" t="str">
        <f>CALCULATION!B35</f>
        <v/>
      </c>
      <c r="C8" s="59" t="str">
        <f>CALCULATION!C35</f>
        <v/>
      </c>
      <c r="D8" s="59" t="str">
        <f>CALCULATION!D35</f>
        <v/>
      </c>
      <c r="E8" s="60" t="str">
        <f>CALCULATION!E35</f>
        <v/>
      </c>
      <c r="F8" s="61" t="str">
        <f>CALCULATION!F35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2025-11-21T10:52:42Z</dcterms:modified>
  <cp:revision>3</cp:revision>
</cp:coreProperties>
</file>